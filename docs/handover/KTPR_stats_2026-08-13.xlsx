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board" sheetId="1" state="visible" r:id="rId1"/>
    <sheet name="Knobs" sheetId="2" state="visible" r:id="rId2"/>
    <sheet name="Raw Data" sheetId="3" state="visible" r:id="rId3"/>
    <sheet name="Notes"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sz val="14"/>
    </font>
    <font>
      <i val="1"/>
      <color rgb="00555555"/>
    </font>
    <font>
      <i val="1"/>
      <color rgb="00777777"/>
      <sz val="9"/>
    </font>
    <font>
      <b val="1"/>
    </font>
    <font>
      <b val="1"/>
      <color rgb="00FFFFFF"/>
    </font>
  </fonts>
  <fills count="4">
    <fill>
      <patternFill/>
    </fill>
    <fill>
      <patternFill patternType="gray125"/>
    </fill>
    <fill>
      <patternFill patternType="solid">
        <fgColor rgb="001F2937"/>
      </patternFill>
    </fill>
    <fill>
      <patternFill patternType="solid">
        <fgColor rgb="00FFF3CD"/>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5" fillId="2" borderId="1" applyAlignment="1" pivotButton="0" quotePrefix="0" xfId="0">
      <alignment horizontal="center" vertical="center" wrapText="1"/>
    </xf>
    <xf numFmtId="0" fontId="0" fillId="0" borderId="1" pivotButton="0" quotePrefix="0" xfId="0"/>
    <xf numFmtId="2" fontId="0" fillId="0" borderId="1" pivotButton="0" quotePrefix="0" xfId="0"/>
    <xf numFmtId="164" fontId="0" fillId="0" borderId="1" pivotButton="0" quotePrefix="0" xfId="0"/>
    <xf numFmtId="2" fontId="4" fillId="0" borderId="1" pivotButton="0" quotePrefix="0" xfId="0"/>
    <xf numFmtId="0" fontId="3" fillId="0" borderId="0" pivotButton="0" quotePrefix="0" xfId="0"/>
    <xf numFmtId="2" fontId="0" fillId="3" borderId="1" pivotButton="0" quotePrefix="0" xfId="0"/>
    <xf numFmtId="0" fontId="0" fillId="0" borderId="0" applyAlignment="1" pivotButton="0" quotePrefix="0" xfId="0">
      <alignment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7" customWidth="1" min="3" max="3"/>
    <col width="8" customWidth="1" min="4" max="4"/>
    <col width="6" customWidth="1" min="5" max="5"/>
    <col width="8" customWidth="1" min="6" max="6"/>
    <col width="10" customWidth="1" min="7" max="7"/>
    <col width="9" customWidth="1" min="8" max="8"/>
    <col width="10" customWidth="1" min="9" max="9"/>
    <col width="9" customWidth="1" min="10" max="10"/>
    <col width="12" customWidth="1" min="11" max="11"/>
    <col width="11" customWidth="1" min="12" max="12"/>
  </cols>
  <sheetData>
    <row r="1">
      <c r="A1" s="1" t="inlineStr">
        <is>
          <t>KTPR Leaderboard -- match 1, 2026-08-13</t>
        </is>
      </c>
    </row>
    <row r="2">
      <c r="A2" s="2" t="inlineStr">
        <is>
          <t>Edit weights on the Knobs sheet -- every score below recalculates live.</t>
        </is>
      </c>
    </row>
    <row r="4">
      <c r="A4" s="3" t="inlineStr">
        <is>
          <t>Rank</t>
        </is>
      </c>
      <c r="B4" s="3" t="inlineStr">
        <is>
          <t>Player</t>
        </is>
      </c>
      <c r="C4" s="3" t="inlineStr">
        <is>
          <t>Kills</t>
        </is>
      </c>
      <c r="D4" s="3" t="inlineStr">
        <is>
          <t>Deaths</t>
        </is>
      </c>
      <c r="E4" s="3" t="inlineStr">
        <is>
          <t>K:D</t>
        </is>
      </c>
      <c r="F4" s="3" t="inlineStr">
        <is>
          <t>Assists</t>
        </is>
      </c>
      <c r="G4" s="3" t="inlineStr">
        <is>
          <t>Headshots</t>
        </is>
      </c>
      <c r="H4" s="3" t="inlineStr">
        <is>
          <t>LFD kills</t>
        </is>
      </c>
      <c r="I4" s="3" t="inlineStr">
        <is>
          <t>Cap breaks</t>
        </is>
      </c>
      <c r="J4" s="3" t="inlineStr">
        <is>
          <t>Flag caps</t>
        </is>
      </c>
      <c r="K4" s="3" t="inlineStr">
        <is>
          <t>Norm. damage</t>
        </is>
      </c>
      <c r="L4" s="3" t="inlineStr">
        <is>
          <t>KTPR Score</t>
        </is>
      </c>
    </row>
    <row r="5">
      <c r="A5" s="4">
        <f>RANK(L5,$L$5:$L$21)</f>
        <v/>
      </c>
      <c r="B5" s="4">
        <f>'Raw Data'!A5</f>
        <v/>
      </c>
      <c r="C5" s="4">
        <f>'Raw Data'!B5</f>
        <v/>
      </c>
      <c r="D5" s="4">
        <f>'Raw Data'!C5</f>
        <v/>
      </c>
      <c r="E5" s="5">
        <f>C5/MAX(D5,1)</f>
        <v/>
      </c>
      <c r="F5" s="4">
        <f>'Raw Data'!D5</f>
        <v/>
      </c>
      <c r="G5" s="4">
        <f>'Raw Data'!E5</f>
        <v/>
      </c>
      <c r="H5" s="4">
        <f>'Raw Data'!F5</f>
        <v/>
      </c>
      <c r="I5" s="4">
        <f>'Raw Data'!G5</f>
        <v/>
      </c>
      <c r="J5" s="4">
        <f>'Raw Data'!H5</f>
        <v/>
      </c>
      <c r="K5" s="6">
        <f>'Raw Data'!I5*IF('Raw Data'!J5="",0,IF('Raw Data'!$B$25="Tie",Knobs!$B$18,IF('Raw Data'!J5='Raw Data'!$B$25,Knobs!$B$16,Knobs!$B$17)))+'Raw Data'!K5*IF('Raw Data'!L5="",0,IF('Raw Data'!$B$26="Tie",Knobs!$B$18,IF('Raw Data'!L5='Raw Data'!$B$26,Knobs!$B$16,Knobs!$B$17)))</f>
        <v/>
      </c>
      <c r="L5" s="7">
        <f>C5*Knobs!$B$8 + (C5/(D5+1))*Knobs!$B$9 + F5*Knobs!$B$10 + G5*Knobs!$B$11 + H5*Knobs!$B$12 + I5*Knobs!$B$13 + J5*Knobs!$B$14 + (K5/100)*Knobs!$B$15</f>
        <v/>
      </c>
    </row>
    <row r="6">
      <c r="A6" s="4">
        <f>RANK(L6,$L$5:$L$21)</f>
        <v/>
      </c>
      <c r="B6" s="4">
        <f>'Raw Data'!A6</f>
        <v/>
      </c>
      <c r="C6" s="4">
        <f>'Raw Data'!B6</f>
        <v/>
      </c>
      <c r="D6" s="4">
        <f>'Raw Data'!C6</f>
        <v/>
      </c>
      <c r="E6" s="5">
        <f>C6/MAX(D6,1)</f>
        <v/>
      </c>
      <c r="F6" s="4">
        <f>'Raw Data'!D6</f>
        <v/>
      </c>
      <c r="G6" s="4">
        <f>'Raw Data'!E6</f>
        <v/>
      </c>
      <c r="H6" s="4">
        <f>'Raw Data'!F6</f>
        <v/>
      </c>
      <c r="I6" s="4">
        <f>'Raw Data'!G6</f>
        <v/>
      </c>
      <c r="J6" s="4">
        <f>'Raw Data'!H6</f>
        <v/>
      </c>
      <c r="K6" s="6">
        <f>'Raw Data'!I6*IF('Raw Data'!J6="",0,IF('Raw Data'!$B$25="Tie",Knobs!$B$18,IF('Raw Data'!J6='Raw Data'!$B$25,Knobs!$B$16,Knobs!$B$17)))+'Raw Data'!K6*IF('Raw Data'!L6="",0,IF('Raw Data'!$B$26="Tie",Knobs!$B$18,IF('Raw Data'!L6='Raw Data'!$B$26,Knobs!$B$16,Knobs!$B$17)))</f>
        <v/>
      </c>
      <c r="L6" s="7">
        <f>C6*Knobs!$B$8 + (C6/(D6+1))*Knobs!$B$9 + F6*Knobs!$B$10 + G6*Knobs!$B$11 + H6*Knobs!$B$12 + I6*Knobs!$B$13 + J6*Knobs!$B$14 + (K6/100)*Knobs!$B$15</f>
        <v/>
      </c>
    </row>
    <row r="7">
      <c r="A7" s="4">
        <f>RANK(L7,$L$5:$L$21)</f>
        <v/>
      </c>
      <c r="B7" s="4">
        <f>'Raw Data'!A7</f>
        <v/>
      </c>
      <c r="C7" s="4">
        <f>'Raw Data'!B7</f>
        <v/>
      </c>
      <c r="D7" s="4">
        <f>'Raw Data'!C7</f>
        <v/>
      </c>
      <c r="E7" s="5">
        <f>C7/MAX(D7,1)</f>
        <v/>
      </c>
      <c r="F7" s="4">
        <f>'Raw Data'!D7</f>
        <v/>
      </c>
      <c r="G7" s="4">
        <f>'Raw Data'!E7</f>
        <v/>
      </c>
      <c r="H7" s="4">
        <f>'Raw Data'!F7</f>
        <v/>
      </c>
      <c r="I7" s="4">
        <f>'Raw Data'!G7</f>
        <v/>
      </c>
      <c r="J7" s="4">
        <f>'Raw Data'!H7</f>
        <v/>
      </c>
      <c r="K7" s="6">
        <f>'Raw Data'!I7*IF('Raw Data'!J7="",0,IF('Raw Data'!$B$25="Tie",Knobs!$B$18,IF('Raw Data'!J7='Raw Data'!$B$25,Knobs!$B$16,Knobs!$B$17)))+'Raw Data'!K7*IF('Raw Data'!L7="",0,IF('Raw Data'!$B$26="Tie",Knobs!$B$18,IF('Raw Data'!L7='Raw Data'!$B$26,Knobs!$B$16,Knobs!$B$17)))</f>
        <v/>
      </c>
      <c r="L7" s="7">
        <f>C7*Knobs!$B$8 + (C7/(D7+1))*Knobs!$B$9 + F7*Knobs!$B$10 + G7*Knobs!$B$11 + H7*Knobs!$B$12 + I7*Knobs!$B$13 + J7*Knobs!$B$14 + (K7/100)*Knobs!$B$15</f>
        <v/>
      </c>
    </row>
    <row r="8">
      <c r="A8" s="4">
        <f>RANK(L8,$L$5:$L$21)</f>
        <v/>
      </c>
      <c r="B8" s="4">
        <f>'Raw Data'!A8</f>
        <v/>
      </c>
      <c r="C8" s="4">
        <f>'Raw Data'!B8</f>
        <v/>
      </c>
      <c r="D8" s="4">
        <f>'Raw Data'!C8</f>
        <v/>
      </c>
      <c r="E8" s="5">
        <f>C8/MAX(D8,1)</f>
        <v/>
      </c>
      <c r="F8" s="4">
        <f>'Raw Data'!D8</f>
        <v/>
      </c>
      <c r="G8" s="4">
        <f>'Raw Data'!E8</f>
        <v/>
      </c>
      <c r="H8" s="4">
        <f>'Raw Data'!F8</f>
        <v/>
      </c>
      <c r="I8" s="4">
        <f>'Raw Data'!G8</f>
        <v/>
      </c>
      <c r="J8" s="4">
        <f>'Raw Data'!H8</f>
        <v/>
      </c>
      <c r="K8" s="6">
        <f>'Raw Data'!I8*IF('Raw Data'!J8="",0,IF('Raw Data'!$B$25="Tie",Knobs!$B$18,IF('Raw Data'!J8='Raw Data'!$B$25,Knobs!$B$16,Knobs!$B$17)))+'Raw Data'!K8*IF('Raw Data'!L8="",0,IF('Raw Data'!$B$26="Tie",Knobs!$B$18,IF('Raw Data'!L8='Raw Data'!$B$26,Knobs!$B$16,Knobs!$B$17)))</f>
        <v/>
      </c>
      <c r="L8" s="7">
        <f>C8*Knobs!$B$8 + (C8/(D8+1))*Knobs!$B$9 + F8*Knobs!$B$10 + G8*Knobs!$B$11 + H8*Knobs!$B$12 + I8*Knobs!$B$13 + J8*Knobs!$B$14 + (K8/100)*Knobs!$B$15</f>
        <v/>
      </c>
    </row>
    <row r="9">
      <c r="A9" s="4">
        <f>RANK(L9,$L$5:$L$21)</f>
        <v/>
      </c>
      <c r="B9" s="4">
        <f>'Raw Data'!A9</f>
        <v/>
      </c>
      <c r="C9" s="4">
        <f>'Raw Data'!B9</f>
        <v/>
      </c>
      <c r="D9" s="4">
        <f>'Raw Data'!C9</f>
        <v/>
      </c>
      <c r="E9" s="5">
        <f>C9/MAX(D9,1)</f>
        <v/>
      </c>
      <c r="F9" s="4">
        <f>'Raw Data'!D9</f>
        <v/>
      </c>
      <c r="G9" s="4">
        <f>'Raw Data'!E9</f>
        <v/>
      </c>
      <c r="H9" s="4">
        <f>'Raw Data'!F9</f>
        <v/>
      </c>
      <c r="I9" s="4">
        <f>'Raw Data'!G9</f>
        <v/>
      </c>
      <c r="J9" s="4">
        <f>'Raw Data'!H9</f>
        <v/>
      </c>
      <c r="K9" s="6">
        <f>'Raw Data'!I9*IF('Raw Data'!J9="",0,IF('Raw Data'!$B$25="Tie",Knobs!$B$18,IF('Raw Data'!J9='Raw Data'!$B$25,Knobs!$B$16,Knobs!$B$17)))+'Raw Data'!K9*IF('Raw Data'!L9="",0,IF('Raw Data'!$B$26="Tie",Knobs!$B$18,IF('Raw Data'!L9='Raw Data'!$B$26,Knobs!$B$16,Knobs!$B$17)))</f>
        <v/>
      </c>
      <c r="L9" s="7">
        <f>C9*Knobs!$B$8 + (C9/(D9+1))*Knobs!$B$9 + F9*Knobs!$B$10 + G9*Knobs!$B$11 + H9*Knobs!$B$12 + I9*Knobs!$B$13 + J9*Knobs!$B$14 + (K9/100)*Knobs!$B$15</f>
        <v/>
      </c>
    </row>
    <row r="10">
      <c r="A10" s="4">
        <f>RANK(L10,$L$5:$L$21)</f>
        <v/>
      </c>
      <c r="B10" s="4">
        <f>'Raw Data'!A10</f>
        <v/>
      </c>
      <c r="C10" s="4">
        <f>'Raw Data'!B10</f>
        <v/>
      </c>
      <c r="D10" s="4">
        <f>'Raw Data'!C10</f>
        <v/>
      </c>
      <c r="E10" s="5">
        <f>C10/MAX(D10,1)</f>
        <v/>
      </c>
      <c r="F10" s="4">
        <f>'Raw Data'!D10</f>
        <v/>
      </c>
      <c r="G10" s="4">
        <f>'Raw Data'!E10</f>
        <v/>
      </c>
      <c r="H10" s="4">
        <f>'Raw Data'!F10</f>
        <v/>
      </c>
      <c r="I10" s="4">
        <f>'Raw Data'!G10</f>
        <v/>
      </c>
      <c r="J10" s="4">
        <f>'Raw Data'!H10</f>
        <v/>
      </c>
      <c r="K10" s="6">
        <f>'Raw Data'!I10*IF('Raw Data'!J10="",0,IF('Raw Data'!$B$25="Tie",Knobs!$B$18,IF('Raw Data'!J10='Raw Data'!$B$25,Knobs!$B$16,Knobs!$B$17)))+'Raw Data'!K10*IF('Raw Data'!L10="",0,IF('Raw Data'!$B$26="Tie",Knobs!$B$18,IF('Raw Data'!L10='Raw Data'!$B$26,Knobs!$B$16,Knobs!$B$17)))</f>
        <v/>
      </c>
      <c r="L10" s="7">
        <f>C10*Knobs!$B$8 + (C10/(D10+1))*Knobs!$B$9 + F10*Knobs!$B$10 + G10*Knobs!$B$11 + H10*Knobs!$B$12 + I10*Knobs!$B$13 + J10*Knobs!$B$14 + (K10/100)*Knobs!$B$15</f>
        <v/>
      </c>
    </row>
    <row r="11">
      <c r="A11" s="4">
        <f>RANK(L11,$L$5:$L$21)</f>
        <v/>
      </c>
      <c r="B11" s="4">
        <f>'Raw Data'!A11</f>
        <v/>
      </c>
      <c r="C11" s="4">
        <f>'Raw Data'!B11</f>
        <v/>
      </c>
      <c r="D11" s="4">
        <f>'Raw Data'!C11</f>
        <v/>
      </c>
      <c r="E11" s="5">
        <f>C11/MAX(D11,1)</f>
        <v/>
      </c>
      <c r="F11" s="4">
        <f>'Raw Data'!D11</f>
        <v/>
      </c>
      <c r="G11" s="4">
        <f>'Raw Data'!E11</f>
        <v/>
      </c>
      <c r="H11" s="4">
        <f>'Raw Data'!F11</f>
        <v/>
      </c>
      <c r="I11" s="4">
        <f>'Raw Data'!G11</f>
        <v/>
      </c>
      <c r="J11" s="4">
        <f>'Raw Data'!H11</f>
        <v/>
      </c>
      <c r="K11" s="6">
        <f>'Raw Data'!I11*IF('Raw Data'!J11="",0,IF('Raw Data'!$B$25="Tie",Knobs!$B$18,IF('Raw Data'!J11='Raw Data'!$B$25,Knobs!$B$16,Knobs!$B$17)))+'Raw Data'!K11*IF('Raw Data'!L11="",0,IF('Raw Data'!$B$26="Tie",Knobs!$B$18,IF('Raw Data'!L11='Raw Data'!$B$26,Knobs!$B$16,Knobs!$B$17)))</f>
        <v/>
      </c>
      <c r="L11" s="7">
        <f>C11*Knobs!$B$8 + (C11/(D11+1))*Knobs!$B$9 + F11*Knobs!$B$10 + G11*Knobs!$B$11 + H11*Knobs!$B$12 + I11*Knobs!$B$13 + J11*Knobs!$B$14 + (K11/100)*Knobs!$B$15</f>
        <v/>
      </c>
    </row>
    <row r="12">
      <c r="A12" s="4">
        <f>RANK(L12,$L$5:$L$21)</f>
        <v/>
      </c>
      <c r="B12" s="4">
        <f>'Raw Data'!A12</f>
        <v/>
      </c>
      <c r="C12" s="4">
        <f>'Raw Data'!B12</f>
        <v/>
      </c>
      <c r="D12" s="4">
        <f>'Raw Data'!C12</f>
        <v/>
      </c>
      <c r="E12" s="5">
        <f>C12/MAX(D12,1)</f>
        <v/>
      </c>
      <c r="F12" s="4">
        <f>'Raw Data'!D12</f>
        <v/>
      </c>
      <c r="G12" s="4">
        <f>'Raw Data'!E12</f>
        <v/>
      </c>
      <c r="H12" s="4">
        <f>'Raw Data'!F12</f>
        <v/>
      </c>
      <c r="I12" s="4">
        <f>'Raw Data'!G12</f>
        <v/>
      </c>
      <c r="J12" s="4">
        <f>'Raw Data'!H12</f>
        <v/>
      </c>
      <c r="K12" s="6">
        <f>'Raw Data'!I12*IF('Raw Data'!J12="",0,IF('Raw Data'!$B$25="Tie",Knobs!$B$18,IF('Raw Data'!J12='Raw Data'!$B$25,Knobs!$B$16,Knobs!$B$17)))+'Raw Data'!K12*IF('Raw Data'!L12="",0,IF('Raw Data'!$B$26="Tie",Knobs!$B$18,IF('Raw Data'!L12='Raw Data'!$B$26,Knobs!$B$16,Knobs!$B$17)))</f>
        <v/>
      </c>
      <c r="L12" s="7">
        <f>C12*Knobs!$B$8 + (C12/(D12+1))*Knobs!$B$9 + F12*Knobs!$B$10 + G12*Knobs!$B$11 + H12*Knobs!$B$12 + I12*Knobs!$B$13 + J12*Knobs!$B$14 + (K12/100)*Knobs!$B$15</f>
        <v/>
      </c>
    </row>
    <row r="13">
      <c r="A13" s="4">
        <f>RANK(L13,$L$5:$L$21)</f>
        <v/>
      </c>
      <c r="B13" s="4">
        <f>'Raw Data'!A13</f>
        <v/>
      </c>
      <c r="C13" s="4">
        <f>'Raw Data'!B13</f>
        <v/>
      </c>
      <c r="D13" s="4">
        <f>'Raw Data'!C13</f>
        <v/>
      </c>
      <c r="E13" s="5">
        <f>C13/MAX(D13,1)</f>
        <v/>
      </c>
      <c r="F13" s="4">
        <f>'Raw Data'!D13</f>
        <v/>
      </c>
      <c r="G13" s="4">
        <f>'Raw Data'!E13</f>
        <v/>
      </c>
      <c r="H13" s="4">
        <f>'Raw Data'!F13</f>
        <v/>
      </c>
      <c r="I13" s="4">
        <f>'Raw Data'!G13</f>
        <v/>
      </c>
      <c r="J13" s="4">
        <f>'Raw Data'!H13</f>
        <v/>
      </c>
      <c r="K13" s="6">
        <f>'Raw Data'!I13*IF('Raw Data'!J13="",0,IF('Raw Data'!$B$25="Tie",Knobs!$B$18,IF('Raw Data'!J13='Raw Data'!$B$25,Knobs!$B$16,Knobs!$B$17)))+'Raw Data'!K13*IF('Raw Data'!L13="",0,IF('Raw Data'!$B$26="Tie",Knobs!$B$18,IF('Raw Data'!L13='Raw Data'!$B$26,Knobs!$B$16,Knobs!$B$17)))</f>
        <v/>
      </c>
      <c r="L13" s="7">
        <f>C13*Knobs!$B$8 + (C13/(D13+1))*Knobs!$B$9 + F13*Knobs!$B$10 + G13*Knobs!$B$11 + H13*Knobs!$B$12 + I13*Knobs!$B$13 + J13*Knobs!$B$14 + (K13/100)*Knobs!$B$15</f>
        <v/>
      </c>
    </row>
    <row r="14">
      <c r="A14" s="4">
        <f>RANK(L14,$L$5:$L$21)</f>
        <v/>
      </c>
      <c r="B14" s="4">
        <f>'Raw Data'!A14</f>
        <v/>
      </c>
      <c r="C14" s="4">
        <f>'Raw Data'!B14</f>
        <v/>
      </c>
      <c r="D14" s="4">
        <f>'Raw Data'!C14</f>
        <v/>
      </c>
      <c r="E14" s="5">
        <f>C14/MAX(D14,1)</f>
        <v/>
      </c>
      <c r="F14" s="4">
        <f>'Raw Data'!D14</f>
        <v/>
      </c>
      <c r="G14" s="4">
        <f>'Raw Data'!E14</f>
        <v/>
      </c>
      <c r="H14" s="4">
        <f>'Raw Data'!F14</f>
        <v/>
      </c>
      <c r="I14" s="4">
        <f>'Raw Data'!G14</f>
        <v/>
      </c>
      <c r="J14" s="4">
        <f>'Raw Data'!H14</f>
        <v/>
      </c>
      <c r="K14" s="6">
        <f>'Raw Data'!I14*IF('Raw Data'!J14="",0,IF('Raw Data'!$B$25="Tie",Knobs!$B$18,IF('Raw Data'!J14='Raw Data'!$B$25,Knobs!$B$16,Knobs!$B$17)))+'Raw Data'!K14*IF('Raw Data'!L14="",0,IF('Raw Data'!$B$26="Tie",Knobs!$B$18,IF('Raw Data'!L14='Raw Data'!$B$26,Knobs!$B$16,Knobs!$B$17)))</f>
        <v/>
      </c>
      <c r="L14" s="7">
        <f>C14*Knobs!$B$8 + (C14/(D14+1))*Knobs!$B$9 + F14*Knobs!$B$10 + G14*Knobs!$B$11 + H14*Knobs!$B$12 + I14*Knobs!$B$13 + J14*Knobs!$B$14 + (K14/100)*Knobs!$B$15</f>
        <v/>
      </c>
    </row>
    <row r="15">
      <c r="A15" s="4">
        <f>RANK(L15,$L$5:$L$21)</f>
        <v/>
      </c>
      <c r="B15" s="4">
        <f>'Raw Data'!A15</f>
        <v/>
      </c>
      <c r="C15" s="4">
        <f>'Raw Data'!B15</f>
        <v/>
      </c>
      <c r="D15" s="4">
        <f>'Raw Data'!C15</f>
        <v/>
      </c>
      <c r="E15" s="5">
        <f>C15/MAX(D15,1)</f>
        <v/>
      </c>
      <c r="F15" s="4">
        <f>'Raw Data'!D15</f>
        <v/>
      </c>
      <c r="G15" s="4">
        <f>'Raw Data'!E15</f>
        <v/>
      </c>
      <c r="H15" s="4">
        <f>'Raw Data'!F15</f>
        <v/>
      </c>
      <c r="I15" s="4">
        <f>'Raw Data'!G15</f>
        <v/>
      </c>
      <c r="J15" s="4">
        <f>'Raw Data'!H15</f>
        <v/>
      </c>
      <c r="K15" s="6">
        <f>'Raw Data'!I15*IF('Raw Data'!J15="",0,IF('Raw Data'!$B$25="Tie",Knobs!$B$18,IF('Raw Data'!J15='Raw Data'!$B$25,Knobs!$B$16,Knobs!$B$17)))+'Raw Data'!K15*IF('Raw Data'!L15="",0,IF('Raw Data'!$B$26="Tie",Knobs!$B$18,IF('Raw Data'!L15='Raw Data'!$B$26,Knobs!$B$16,Knobs!$B$17)))</f>
        <v/>
      </c>
      <c r="L15" s="7">
        <f>C15*Knobs!$B$8 + (C15/(D15+1))*Knobs!$B$9 + F15*Knobs!$B$10 + G15*Knobs!$B$11 + H15*Knobs!$B$12 + I15*Knobs!$B$13 + J15*Knobs!$B$14 + (K15/100)*Knobs!$B$15</f>
        <v/>
      </c>
    </row>
    <row r="16">
      <c r="A16" s="4">
        <f>RANK(L16,$L$5:$L$21)</f>
        <v/>
      </c>
      <c r="B16" s="4">
        <f>'Raw Data'!A16</f>
        <v/>
      </c>
      <c r="C16" s="4">
        <f>'Raw Data'!B16</f>
        <v/>
      </c>
      <c r="D16" s="4">
        <f>'Raw Data'!C16</f>
        <v/>
      </c>
      <c r="E16" s="5">
        <f>C16/MAX(D16,1)</f>
        <v/>
      </c>
      <c r="F16" s="4">
        <f>'Raw Data'!D16</f>
        <v/>
      </c>
      <c r="G16" s="4">
        <f>'Raw Data'!E16</f>
        <v/>
      </c>
      <c r="H16" s="4">
        <f>'Raw Data'!F16</f>
        <v/>
      </c>
      <c r="I16" s="4">
        <f>'Raw Data'!G16</f>
        <v/>
      </c>
      <c r="J16" s="4">
        <f>'Raw Data'!H16</f>
        <v/>
      </c>
      <c r="K16" s="6">
        <f>'Raw Data'!I16*IF('Raw Data'!J16="",0,IF('Raw Data'!$B$25="Tie",Knobs!$B$18,IF('Raw Data'!J16='Raw Data'!$B$25,Knobs!$B$16,Knobs!$B$17)))+'Raw Data'!K16*IF('Raw Data'!L16="",0,IF('Raw Data'!$B$26="Tie",Knobs!$B$18,IF('Raw Data'!L16='Raw Data'!$B$26,Knobs!$B$16,Knobs!$B$17)))</f>
        <v/>
      </c>
      <c r="L16" s="7">
        <f>C16*Knobs!$B$8 + (C16/(D16+1))*Knobs!$B$9 + F16*Knobs!$B$10 + G16*Knobs!$B$11 + H16*Knobs!$B$12 + I16*Knobs!$B$13 + J16*Knobs!$B$14 + (K16/100)*Knobs!$B$15</f>
        <v/>
      </c>
    </row>
    <row r="17">
      <c r="A17" s="4">
        <f>RANK(L17,$L$5:$L$21)</f>
        <v/>
      </c>
      <c r="B17" s="4">
        <f>'Raw Data'!A17</f>
        <v/>
      </c>
      <c r="C17" s="4">
        <f>'Raw Data'!B17</f>
        <v/>
      </c>
      <c r="D17" s="4">
        <f>'Raw Data'!C17</f>
        <v/>
      </c>
      <c r="E17" s="5">
        <f>C17/MAX(D17,1)</f>
        <v/>
      </c>
      <c r="F17" s="4">
        <f>'Raw Data'!D17</f>
        <v/>
      </c>
      <c r="G17" s="4">
        <f>'Raw Data'!E17</f>
        <v/>
      </c>
      <c r="H17" s="4">
        <f>'Raw Data'!F17</f>
        <v/>
      </c>
      <c r="I17" s="4">
        <f>'Raw Data'!G17</f>
        <v/>
      </c>
      <c r="J17" s="4">
        <f>'Raw Data'!H17</f>
        <v/>
      </c>
      <c r="K17" s="6">
        <f>'Raw Data'!I17*IF('Raw Data'!J17="",0,IF('Raw Data'!$B$25="Tie",Knobs!$B$18,IF('Raw Data'!J17='Raw Data'!$B$25,Knobs!$B$16,Knobs!$B$17)))+'Raw Data'!K17*IF('Raw Data'!L17="",0,IF('Raw Data'!$B$26="Tie",Knobs!$B$18,IF('Raw Data'!L17='Raw Data'!$B$26,Knobs!$B$16,Knobs!$B$17)))</f>
        <v/>
      </c>
      <c r="L17" s="7">
        <f>C17*Knobs!$B$8 + (C17/(D17+1))*Knobs!$B$9 + F17*Knobs!$B$10 + G17*Knobs!$B$11 + H17*Knobs!$B$12 + I17*Knobs!$B$13 + J17*Knobs!$B$14 + (K17/100)*Knobs!$B$15</f>
        <v/>
      </c>
    </row>
    <row r="18">
      <c r="A18" s="4">
        <f>RANK(L18,$L$5:$L$21)</f>
        <v/>
      </c>
      <c r="B18" s="4">
        <f>'Raw Data'!A18</f>
        <v/>
      </c>
      <c r="C18" s="4">
        <f>'Raw Data'!B18</f>
        <v/>
      </c>
      <c r="D18" s="4">
        <f>'Raw Data'!C18</f>
        <v/>
      </c>
      <c r="E18" s="5">
        <f>C18/MAX(D18,1)</f>
        <v/>
      </c>
      <c r="F18" s="4">
        <f>'Raw Data'!D18</f>
        <v/>
      </c>
      <c r="G18" s="4">
        <f>'Raw Data'!E18</f>
        <v/>
      </c>
      <c r="H18" s="4">
        <f>'Raw Data'!F18</f>
        <v/>
      </c>
      <c r="I18" s="4">
        <f>'Raw Data'!G18</f>
        <v/>
      </c>
      <c r="J18" s="4">
        <f>'Raw Data'!H18</f>
        <v/>
      </c>
      <c r="K18" s="6">
        <f>'Raw Data'!I18*IF('Raw Data'!J18="",0,IF('Raw Data'!$B$25="Tie",Knobs!$B$18,IF('Raw Data'!J18='Raw Data'!$B$25,Knobs!$B$16,Knobs!$B$17)))+'Raw Data'!K18*IF('Raw Data'!L18="",0,IF('Raw Data'!$B$26="Tie",Knobs!$B$18,IF('Raw Data'!L18='Raw Data'!$B$26,Knobs!$B$16,Knobs!$B$17)))</f>
        <v/>
      </c>
      <c r="L18" s="7">
        <f>C18*Knobs!$B$8 + (C18/(D18+1))*Knobs!$B$9 + F18*Knobs!$B$10 + G18*Knobs!$B$11 + H18*Knobs!$B$12 + I18*Knobs!$B$13 + J18*Knobs!$B$14 + (K18/100)*Knobs!$B$15</f>
        <v/>
      </c>
    </row>
    <row r="19">
      <c r="A19" s="4">
        <f>RANK(L19,$L$5:$L$21)</f>
        <v/>
      </c>
      <c r="B19" s="4">
        <f>'Raw Data'!A19</f>
        <v/>
      </c>
      <c r="C19" s="4">
        <f>'Raw Data'!B19</f>
        <v/>
      </c>
      <c r="D19" s="4">
        <f>'Raw Data'!C19</f>
        <v/>
      </c>
      <c r="E19" s="5">
        <f>C19/MAX(D19,1)</f>
        <v/>
      </c>
      <c r="F19" s="4">
        <f>'Raw Data'!D19</f>
        <v/>
      </c>
      <c r="G19" s="4">
        <f>'Raw Data'!E19</f>
        <v/>
      </c>
      <c r="H19" s="4">
        <f>'Raw Data'!F19</f>
        <v/>
      </c>
      <c r="I19" s="4">
        <f>'Raw Data'!G19</f>
        <v/>
      </c>
      <c r="J19" s="4">
        <f>'Raw Data'!H19</f>
        <v/>
      </c>
      <c r="K19" s="6">
        <f>'Raw Data'!I19*IF('Raw Data'!J19="",0,IF('Raw Data'!$B$25="Tie",Knobs!$B$18,IF('Raw Data'!J19='Raw Data'!$B$25,Knobs!$B$16,Knobs!$B$17)))+'Raw Data'!K19*IF('Raw Data'!L19="",0,IF('Raw Data'!$B$26="Tie",Knobs!$B$18,IF('Raw Data'!L19='Raw Data'!$B$26,Knobs!$B$16,Knobs!$B$17)))</f>
        <v/>
      </c>
      <c r="L19" s="7">
        <f>C19*Knobs!$B$8 + (C19/(D19+1))*Knobs!$B$9 + F19*Knobs!$B$10 + G19*Knobs!$B$11 + H19*Knobs!$B$12 + I19*Knobs!$B$13 + J19*Knobs!$B$14 + (K19/100)*Knobs!$B$15</f>
        <v/>
      </c>
    </row>
    <row r="20">
      <c r="A20" s="4">
        <f>RANK(L20,$L$5:$L$21)</f>
        <v/>
      </c>
      <c r="B20" s="4">
        <f>'Raw Data'!A20</f>
        <v/>
      </c>
      <c r="C20" s="4">
        <f>'Raw Data'!B20</f>
        <v/>
      </c>
      <c r="D20" s="4">
        <f>'Raw Data'!C20</f>
        <v/>
      </c>
      <c r="E20" s="5">
        <f>C20/MAX(D20,1)</f>
        <v/>
      </c>
      <c r="F20" s="4">
        <f>'Raw Data'!D20</f>
        <v/>
      </c>
      <c r="G20" s="4">
        <f>'Raw Data'!E20</f>
        <v/>
      </c>
      <c r="H20" s="4">
        <f>'Raw Data'!F20</f>
        <v/>
      </c>
      <c r="I20" s="4">
        <f>'Raw Data'!G20</f>
        <v/>
      </c>
      <c r="J20" s="4">
        <f>'Raw Data'!H20</f>
        <v/>
      </c>
      <c r="K20" s="6">
        <f>'Raw Data'!I20*IF('Raw Data'!J20="",0,IF('Raw Data'!$B$25="Tie",Knobs!$B$18,IF('Raw Data'!J20='Raw Data'!$B$25,Knobs!$B$16,Knobs!$B$17)))+'Raw Data'!K20*IF('Raw Data'!L20="",0,IF('Raw Data'!$B$26="Tie",Knobs!$B$18,IF('Raw Data'!L20='Raw Data'!$B$26,Knobs!$B$16,Knobs!$B$17)))</f>
        <v/>
      </c>
      <c r="L20" s="7">
        <f>C20*Knobs!$B$8 + (C20/(D20+1))*Knobs!$B$9 + F20*Knobs!$B$10 + G20*Knobs!$B$11 + H20*Knobs!$B$12 + I20*Knobs!$B$13 + J20*Knobs!$B$14 + (K20/100)*Knobs!$B$15</f>
        <v/>
      </c>
    </row>
    <row r="21">
      <c r="A21" s="4">
        <f>RANK(L21,$L$5:$L$21)</f>
        <v/>
      </c>
      <c r="B21" s="4">
        <f>'Raw Data'!A21</f>
        <v/>
      </c>
      <c r="C21" s="4">
        <f>'Raw Data'!B21</f>
        <v/>
      </c>
      <c r="D21" s="4">
        <f>'Raw Data'!C21</f>
        <v/>
      </c>
      <c r="E21" s="5">
        <f>C21/MAX(D21,1)</f>
        <v/>
      </c>
      <c r="F21" s="4">
        <f>'Raw Data'!D21</f>
        <v/>
      </c>
      <c r="G21" s="4">
        <f>'Raw Data'!E21</f>
        <v/>
      </c>
      <c r="H21" s="4">
        <f>'Raw Data'!F21</f>
        <v/>
      </c>
      <c r="I21" s="4">
        <f>'Raw Data'!G21</f>
        <v/>
      </c>
      <c r="J21" s="4">
        <f>'Raw Data'!H21</f>
        <v/>
      </c>
      <c r="K21" s="6">
        <f>'Raw Data'!I21*IF('Raw Data'!J21="",0,IF('Raw Data'!$B$25="Tie",Knobs!$B$18,IF('Raw Data'!J21='Raw Data'!$B$25,Knobs!$B$16,Knobs!$B$17)))+'Raw Data'!K21*IF('Raw Data'!L21="",0,IF('Raw Data'!$B$26="Tie",Knobs!$B$18,IF('Raw Data'!L21='Raw Data'!$B$26,Knobs!$B$16,Knobs!$B$17)))</f>
        <v/>
      </c>
      <c r="L21" s="7">
        <f>C21*Knobs!$B$8 + (C21/(D21+1))*Knobs!$B$9 + F21*Knobs!$B$10 + G21*Knobs!$B$11 + H21*Knobs!$B$12 + I21*Knobs!$B$13 + J21*Knobs!$B$14 + (K21/100)*Knobs!$B$15</f>
        <v/>
      </c>
    </row>
  </sheetData>
  <mergeCells count="1">
    <mergeCell ref="A2:N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showGridLines="0" workbookViewId="0">
      <pane ySplit="7" topLeftCell="A8" activePane="bottomLeft" state="frozen"/>
      <selection pane="bottomLeft" activeCell="A1" sqref="A1"/>
    </sheetView>
  </sheetViews>
  <sheetFormatPr baseColWidth="8" defaultRowHeight="15"/>
  <cols>
    <col width="26" customWidth="1" min="1" max="1"/>
    <col width="10" customWidth="1" min="2" max="2"/>
    <col width="90" customWidth="1" min="3" max="3"/>
  </cols>
  <sheetData>
    <row r="1">
      <c r="A1" s="1" t="inlineStr">
        <is>
          <t>KTPR scoring knobs</t>
        </is>
      </c>
    </row>
    <row r="2">
      <c r="A2" s="2" t="inlineStr">
        <is>
          <t>Edit the yellow cells. Leaderboard recalculates live via formulas referencing these.</t>
        </is>
      </c>
    </row>
    <row r="4">
      <c r="A4" s="8" t="inlineStr">
        <is>
          <t>dodworldseries.com published weights, for reference (same underlying data source as this project's own capture pipeline):</t>
        </is>
      </c>
    </row>
    <row r="5">
      <c r="A5" s="8" t="inlineStr">
        <is>
          <t>Kill efficiency 3.0x | Kill volume 1.0x | Assists 1.0x | Cap breaks 1.0x | Flags 0.7x | Damage 0.5x | clamped 0.55-2.5 per metric, position-normalized (median=1.00)</t>
        </is>
      </c>
    </row>
    <row r="7">
      <c r="A7" s="3" t="inlineStr">
        <is>
          <t>Knob</t>
        </is>
      </c>
      <c r="B7" s="3" t="inlineStr">
        <is>
          <t>Value</t>
        </is>
      </c>
      <c r="C7" s="3" t="inlineStr">
        <is>
          <t>Description</t>
        </is>
      </c>
    </row>
    <row r="8" ht="30" customHeight="1">
      <c r="A8" t="inlineStr">
        <is>
          <t>Kill volume weight</t>
        </is>
      </c>
      <c r="B8" s="9" t="n">
        <v>1</v>
      </c>
      <c r="C8" s="10" t="inlineStr">
        <is>
          <t>Points per kill (raw count).</t>
        </is>
      </c>
    </row>
    <row r="9" ht="30" customHeight="1">
      <c r="A9" t="inlineStr">
        <is>
          <t>Kill efficiency weight</t>
        </is>
      </c>
      <c r="B9" s="9" t="n">
        <v>3</v>
      </c>
      <c r="C9" s="10" t="inlineStr">
        <is>
          <t>Points per kills/(deaths+1). Deaths never subtract -- this is the only place a low death count helps, and it only ever adds.</t>
        </is>
      </c>
    </row>
    <row r="10" ht="30" customHeight="1">
      <c r="A10" t="inlineStr">
        <is>
          <t>Assist weight</t>
        </is>
      </c>
      <c r="B10" s="9" t="n">
        <v>1</v>
      </c>
      <c r="C10" s="10" t="inlineStr">
        <is>
          <t>Points per assist (PlayerPlayerActions row).</t>
        </is>
      </c>
    </row>
    <row r="11" ht="30" customHeight="1">
      <c r="A11" t="inlineStr">
        <is>
          <t>Headshot weight</t>
        </is>
      </c>
      <c r="B11" s="9" t="n">
        <v>0.25</v>
      </c>
      <c r="C11" s="10" t="inlineStr">
        <is>
          <t>Points per headshot kill. Not in dodworldseries' published formula -- this project's own addition.</t>
        </is>
      </c>
    </row>
    <row r="12" ht="30" customHeight="1">
      <c r="A12" t="inlineStr">
        <is>
          <t>Last-flag-defense weight</t>
        </is>
      </c>
      <c r="B12" s="9" t="n">
        <v>1</v>
      </c>
      <c r="C12" s="10" t="inlineStr">
        <is>
          <t>Points per kill defending a team's last remaining flag. This project's own addition; not in dodworldseries' formula.</t>
        </is>
      </c>
    </row>
    <row r="13" ht="30" customHeight="1">
      <c r="A13" t="inlineStr">
        <is>
          <t>Cap break weight</t>
        </is>
      </c>
      <c r="B13" s="9" t="n">
        <v>2</v>
      </c>
      <c r="C13" s="10" t="inlineStr">
        <is>
          <t>Points per cap break (killing a capper mid-capture).</t>
        </is>
      </c>
    </row>
    <row r="14" ht="30" customHeight="1">
      <c r="A14" t="inlineStr">
        <is>
          <t>Flag capture weight</t>
        </is>
      </c>
      <c r="B14" s="9" t="n">
        <v>1.5</v>
      </c>
      <c r="C14" s="10" t="inlineStr">
        <is>
          <t>Points per flag capture credited (each participating player gets full credit, not split).</t>
        </is>
      </c>
    </row>
    <row r="15" ht="30" customHeight="1">
      <c r="A15" t="inlineStr">
        <is>
          <t>Damage weight (per 100)</t>
        </is>
      </c>
      <c r="B15" s="9" t="n">
        <v>0.5</v>
      </c>
      <c r="C15" s="10" t="inlineStr">
        <is>
          <t>Points per 100 normalized damage.</t>
        </is>
      </c>
    </row>
    <row r="16" ht="30" customHeight="1">
      <c r="A16" t="inlineStr">
        <is>
          <t>Damage: win multiplier</t>
        </is>
      </c>
      <c r="B16" s="9" t="n">
        <v>1.2</v>
      </c>
      <c r="C16" s="10" t="inlineStr">
        <is>
          <t>Multiplier on a half's damage if the player's team won that half (by flag-capture count).</t>
        </is>
      </c>
    </row>
    <row r="17" ht="30" customHeight="1">
      <c r="A17" t="inlineStr">
        <is>
          <t>Damage: loss multiplier</t>
        </is>
      </c>
      <c r="B17" s="9" t="n">
        <v>0.8</v>
      </c>
      <c r="C17" s="10" t="inlineStr">
        <is>
          <t>Multiplier on a half's damage if the player's team lost that half.</t>
        </is>
      </c>
    </row>
    <row r="18" ht="30" customHeight="1">
      <c r="A18" t="inlineStr">
        <is>
          <t>Damage: tie multiplier</t>
        </is>
      </c>
      <c r="B18" s="9" t="n">
        <v>1</v>
      </c>
      <c r="C18" s="10" t="inlineStr">
        <is>
          <t>Multiplier on a half's damage if that half ended in a capture-count tie.</t>
        </is>
      </c>
    </row>
  </sheetData>
  <mergeCells count="1">
    <mergeCell ref="A5:F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7" customWidth="1" min="2" max="2"/>
    <col width="8" customWidth="1" min="3" max="3"/>
    <col width="8" customWidth="1" min="4" max="4"/>
    <col width="10" customWidth="1" min="5" max="5"/>
    <col width="9" customWidth="1" min="6" max="6"/>
    <col width="10" customWidth="1" min="7" max="7"/>
    <col width="12" customWidth="1" min="8" max="8"/>
    <col width="10" customWidth="1" min="9" max="9"/>
    <col width="10" customWidth="1" min="10" max="10"/>
    <col width="10" customWidth="1" min="11" max="11"/>
    <col width="10" customWidth="1" min="12" max="12"/>
  </cols>
  <sheetData>
    <row r="1">
      <c r="A1" s="1" t="inlineStr">
        <is>
          <t>Raw data -- match 1, 2026-08-13, dod_anzio (recovered fixture)</t>
        </is>
      </c>
    </row>
    <row r="2">
      <c r="A2" s="2" t="inlineStr">
        <is>
          <t>Source: tests/e2e_stats/fixtures/regression-2026-08-13-match1/hlstatsx-fixture.sql. One real match, both halves. Not synthetic.</t>
        </is>
      </c>
    </row>
    <row r="4">
      <c r="A4" s="3" t="inlineStr">
        <is>
          <t>Player</t>
        </is>
      </c>
      <c r="B4" s="3" t="inlineStr">
        <is>
          <t>Kills</t>
        </is>
      </c>
      <c r="C4" s="3" t="inlineStr">
        <is>
          <t>Deaths</t>
        </is>
      </c>
      <c r="D4" s="3" t="inlineStr">
        <is>
          <t>Assists</t>
        </is>
      </c>
      <c r="E4" s="3" t="inlineStr">
        <is>
          <t>Headshots</t>
        </is>
      </c>
      <c r="F4" s="3" t="inlineStr">
        <is>
          <t>LFD kills</t>
        </is>
      </c>
      <c r="G4" s="3" t="inlineStr">
        <is>
          <t>Cap breaks</t>
        </is>
      </c>
      <c r="H4" s="3" t="inlineStr">
        <is>
          <t>Flag captures</t>
        </is>
      </c>
      <c r="I4" s="3" t="inlineStr">
        <is>
          <t>Half1 dmg</t>
        </is>
      </c>
      <c r="J4" s="3" t="inlineStr">
        <is>
          <t>Half1 team</t>
        </is>
      </c>
      <c r="K4" s="3" t="inlineStr">
        <is>
          <t>Half2 dmg</t>
        </is>
      </c>
      <c r="L4" s="3" t="inlineStr">
        <is>
          <t>Half2 team</t>
        </is>
      </c>
    </row>
    <row r="5">
      <c r="A5" s="4" t="inlineStr">
        <is>
          <t>Ferro</t>
        </is>
      </c>
      <c r="B5" s="4" t="n">
        <v>42</v>
      </c>
      <c r="C5" s="4" t="n">
        <v>20</v>
      </c>
      <c r="D5" s="4" t="n">
        <v>3</v>
      </c>
      <c r="E5" s="4" t="n">
        <v>4</v>
      </c>
      <c r="F5" s="4" t="n">
        <v>11</v>
      </c>
      <c r="G5" s="4" t="n">
        <v>0</v>
      </c>
      <c r="H5" s="4" t="n">
        <v>12</v>
      </c>
      <c r="I5" s="4" t="n">
        <v>1927</v>
      </c>
      <c r="J5" s="4" t="inlineStr">
        <is>
          <t>Axis</t>
        </is>
      </c>
      <c r="K5" s="4" t="n">
        <v>2822</v>
      </c>
      <c r="L5" s="4" t="inlineStr">
        <is>
          <t>Allies</t>
        </is>
      </c>
    </row>
    <row r="6">
      <c r="A6" s="4" t="inlineStr">
        <is>
          <t>Claire</t>
        </is>
      </c>
      <c r="B6" s="4" t="n">
        <v>30</v>
      </c>
      <c r="C6" s="4" t="n">
        <v>12</v>
      </c>
      <c r="D6" s="4" t="n">
        <v>4</v>
      </c>
      <c r="E6" s="4" t="n">
        <v>3</v>
      </c>
      <c r="F6" s="4" t="n">
        <v>9</v>
      </c>
      <c r="G6" s="4" t="n">
        <v>0</v>
      </c>
      <c r="H6" s="4" t="n">
        <v>4</v>
      </c>
      <c r="I6" s="4" t="n">
        <v>3955</v>
      </c>
      <c r="J6" s="4" t="inlineStr">
        <is>
          <t>Allies</t>
        </is>
      </c>
      <c r="K6" s="4" t="n">
        <v>0</v>
      </c>
      <c r="L6" s="4" t="inlineStr"/>
    </row>
    <row r="7">
      <c r="A7" s="4" t="inlineStr">
        <is>
          <t>Ash</t>
        </is>
      </c>
      <c r="B7" s="4" t="n">
        <v>25</v>
      </c>
      <c r="C7" s="4" t="n">
        <v>23</v>
      </c>
      <c r="D7" s="4" t="n">
        <v>3</v>
      </c>
      <c r="E7" s="4" t="n">
        <v>2</v>
      </c>
      <c r="F7" s="4" t="n">
        <v>3</v>
      </c>
      <c r="G7" s="4" t="n">
        <v>0</v>
      </c>
      <c r="H7" s="4" t="n">
        <v>7</v>
      </c>
      <c r="I7" s="4" t="n">
        <v>1681</v>
      </c>
      <c r="J7" s="4" t="inlineStr">
        <is>
          <t>Axis</t>
        </is>
      </c>
      <c r="K7" s="4" t="n">
        <v>1647</v>
      </c>
      <c r="L7" s="4" t="inlineStr">
        <is>
          <t>Allies</t>
        </is>
      </c>
    </row>
    <row r="8">
      <c r="A8" s="4" t="inlineStr">
        <is>
          <t>Bishop</t>
        </is>
      </c>
      <c r="B8" s="4" t="n">
        <v>25</v>
      </c>
      <c r="C8" s="4" t="n">
        <v>25</v>
      </c>
      <c r="D8" s="4" t="n">
        <v>4</v>
      </c>
      <c r="E8" s="4" t="n">
        <v>2</v>
      </c>
      <c r="F8" s="4" t="n">
        <v>3</v>
      </c>
      <c r="G8" s="4" t="n">
        <v>0</v>
      </c>
      <c r="H8" s="4" t="n">
        <v>4</v>
      </c>
      <c r="I8" s="4" t="n">
        <v>1685</v>
      </c>
      <c r="J8" s="4" t="inlineStr">
        <is>
          <t>Allies</t>
        </is>
      </c>
      <c r="K8" s="4" t="n">
        <v>1225</v>
      </c>
      <c r="L8" s="4" t="inlineStr">
        <is>
          <t>Axis</t>
        </is>
      </c>
    </row>
    <row r="9">
      <c r="A9" s="4" t="inlineStr">
        <is>
          <t>Burke</t>
        </is>
      </c>
      <c r="B9" s="4" t="n">
        <v>24</v>
      </c>
      <c r="C9" s="4" t="n">
        <v>26</v>
      </c>
      <c r="D9" s="4" t="n">
        <v>9</v>
      </c>
      <c r="E9" s="4" t="n">
        <v>3</v>
      </c>
      <c r="F9" s="4" t="n">
        <v>2</v>
      </c>
      <c r="G9" s="4" t="n">
        <v>0</v>
      </c>
      <c r="H9" s="4" t="n">
        <v>10</v>
      </c>
      <c r="I9" s="4" t="n">
        <v>1675</v>
      </c>
      <c r="J9" s="4" t="inlineStr">
        <is>
          <t>Axis</t>
        </is>
      </c>
      <c r="K9" s="4" t="n">
        <v>1536</v>
      </c>
      <c r="L9" s="4" t="inlineStr">
        <is>
          <t>Allies</t>
        </is>
      </c>
    </row>
    <row r="10">
      <c r="A10" s="4" t="inlineStr">
        <is>
          <t>Dallas</t>
        </is>
      </c>
      <c r="B10" s="4" t="n">
        <v>24</v>
      </c>
      <c r="C10" s="4" t="n">
        <v>26</v>
      </c>
      <c r="D10" s="4" t="n">
        <v>4</v>
      </c>
      <c r="E10" s="4" t="n">
        <v>2</v>
      </c>
      <c r="F10" s="4" t="n">
        <v>3</v>
      </c>
      <c r="G10" s="4" t="n">
        <v>1</v>
      </c>
      <c r="H10" s="4" t="n">
        <v>5</v>
      </c>
      <c r="I10" s="4" t="n">
        <v>2207</v>
      </c>
      <c r="J10" s="4" t="inlineStr">
        <is>
          <t>Allies</t>
        </is>
      </c>
      <c r="K10" s="4" t="n">
        <v>1155</v>
      </c>
      <c r="L10" s="4" t="inlineStr">
        <is>
          <t>Axis</t>
        </is>
      </c>
    </row>
    <row r="11">
      <c r="A11" s="4" t="inlineStr">
        <is>
          <t>Hicks</t>
        </is>
      </c>
      <c r="B11" s="4" t="n">
        <v>23</v>
      </c>
      <c r="C11" s="4" t="n">
        <v>26</v>
      </c>
      <c r="D11" s="4" t="n">
        <v>0</v>
      </c>
      <c r="E11" s="4" t="n">
        <v>4</v>
      </c>
      <c r="F11" s="4" t="n">
        <v>2</v>
      </c>
      <c r="G11" s="4" t="n">
        <v>1</v>
      </c>
      <c r="H11" s="4" t="n">
        <v>7</v>
      </c>
      <c r="I11" s="4" t="n">
        <v>877</v>
      </c>
      <c r="J11" s="4" t="inlineStr">
        <is>
          <t>Allies</t>
        </is>
      </c>
      <c r="K11" s="4" t="n">
        <v>1428</v>
      </c>
      <c r="L11" s="4" t="inlineStr">
        <is>
          <t>Axis</t>
        </is>
      </c>
    </row>
    <row r="12">
      <c r="A12" s="4" t="inlineStr">
        <is>
          <t>Cutter</t>
        </is>
      </c>
      <c r="B12" s="4" t="n">
        <v>21</v>
      </c>
      <c r="C12" s="4" t="n">
        <v>25</v>
      </c>
      <c r="D12" s="4" t="n">
        <v>5</v>
      </c>
      <c r="E12" s="4" t="n">
        <v>4</v>
      </c>
      <c r="F12" s="4" t="n">
        <v>2</v>
      </c>
      <c r="G12" s="4" t="n">
        <v>0</v>
      </c>
      <c r="H12" s="4" t="n">
        <v>8</v>
      </c>
      <c r="I12" s="4" t="n">
        <v>1101</v>
      </c>
      <c r="J12" s="4" t="inlineStr">
        <is>
          <t>Allies</t>
        </is>
      </c>
      <c r="K12" s="4" t="n">
        <v>1463</v>
      </c>
      <c r="L12" s="4" t="inlineStr">
        <is>
          <t>Axis</t>
        </is>
      </c>
    </row>
    <row r="13">
      <c r="A13" s="4" t="inlineStr">
        <is>
          <t>Dracula</t>
        </is>
      </c>
      <c r="B13" s="4" t="n">
        <v>19</v>
      </c>
      <c r="C13" s="4" t="n">
        <v>13</v>
      </c>
      <c r="D13" s="4" t="n">
        <v>3</v>
      </c>
      <c r="E13" s="4" t="n">
        <v>1</v>
      </c>
      <c r="F13" s="4" t="n">
        <v>5</v>
      </c>
      <c r="G13" s="4" t="n">
        <v>1</v>
      </c>
      <c r="H13" s="4" t="n">
        <v>4</v>
      </c>
      <c r="I13" s="4" t="n">
        <v>2710</v>
      </c>
      <c r="J13" s="4" t="inlineStr">
        <is>
          <t>Allies</t>
        </is>
      </c>
      <c r="K13" s="4" t="n">
        <v>0</v>
      </c>
      <c r="L13" s="4" t="inlineStr"/>
    </row>
    <row r="14">
      <c r="A14" s="4" t="inlineStr">
        <is>
          <t>Lambert</t>
        </is>
      </c>
      <c r="B14" s="4" t="n">
        <v>19</v>
      </c>
      <c r="C14" s="4" t="n">
        <v>27</v>
      </c>
      <c r="D14" s="4" t="n">
        <v>1</v>
      </c>
      <c r="E14" s="4" t="n">
        <v>3</v>
      </c>
      <c r="F14" s="4" t="n">
        <v>4</v>
      </c>
      <c r="G14" s="4" t="n">
        <v>0</v>
      </c>
      <c r="H14" s="4" t="n">
        <v>6</v>
      </c>
      <c r="I14" s="4" t="n">
        <v>900</v>
      </c>
      <c r="J14" s="4" t="inlineStr">
        <is>
          <t>Axis</t>
        </is>
      </c>
      <c r="K14" s="4" t="n">
        <v>1650</v>
      </c>
      <c r="L14" s="4" t="inlineStr">
        <is>
          <t>Allies</t>
        </is>
      </c>
    </row>
    <row r="15">
      <c r="A15" s="4" t="inlineStr">
        <is>
          <t>Hudson</t>
        </is>
      </c>
      <c r="B15" s="4" t="n">
        <v>18</v>
      </c>
      <c r="C15" s="4" t="n">
        <v>26</v>
      </c>
      <c r="D15" s="4" t="n">
        <v>3</v>
      </c>
      <c r="E15" s="4" t="n">
        <v>2</v>
      </c>
      <c r="F15" s="4" t="n">
        <v>4</v>
      </c>
      <c r="G15" s="4" t="n">
        <v>0</v>
      </c>
      <c r="H15" s="4" t="n">
        <v>3</v>
      </c>
      <c r="I15" s="4" t="n">
        <v>943</v>
      </c>
      <c r="J15" s="4" t="inlineStr">
        <is>
          <t>Axis</t>
        </is>
      </c>
      <c r="K15" s="4" t="n">
        <v>1228</v>
      </c>
      <c r="L15" s="4" t="inlineStr">
        <is>
          <t>Allies</t>
        </is>
      </c>
    </row>
    <row r="16">
      <c r="A16" s="4" t="inlineStr">
        <is>
          <t>GLaDOS</t>
        </is>
      </c>
      <c r="B16" s="4" t="n">
        <v>17</v>
      </c>
      <c r="C16" s="4" t="n">
        <v>12</v>
      </c>
      <c r="D16" s="4" t="n">
        <v>3</v>
      </c>
      <c r="E16" s="4" t="n">
        <v>0</v>
      </c>
      <c r="F16" s="4" t="n">
        <v>1</v>
      </c>
      <c r="G16" s="4" t="n">
        <v>0</v>
      </c>
      <c r="H16" s="4" t="n">
        <v>8</v>
      </c>
      <c r="I16" s="4" t="n">
        <v>0</v>
      </c>
      <c r="J16" s="4" t="inlineStr"/>
      <c r="K16" s="4" t="n">
        <v>2425</v>
      </c>
      <c r="L16" s="4" t="inlineStr">
        <is>
          <t>Allies</t>
        </is>
      </c>
    </row>
    <row r="17">
      <c r="A17" s="4" t="inlineStr">
        <is>
          <t>Crash</t>
        </is>
      </c>
      <c r="B17" s="4" t="n">
        <v>16</v>
      </c>
      <c r="C17" s="4" t="n">
        <v>10</v>
      </c>
      <c r="D17" s="4" t="n">
        <v>3</v>
      </c>
      <c r="E17" s="4" t="n">
        <v>2</v>
      </c>
      <c r="F17" s="4" t="n">
        <v>8</v>
      </c>
      <c r="G17" s="4" t="n">
        <v>0</v>
      </c>
      <c r="H17" s="4" t="n">
        <v>2</v>
      </c>
      <c r="I17" s="4" t="n">
        <v>0</v>
      </c>
      <c r="J17" s="4" t="inlineStr"/>
      <c r="K17" s="4" t="n">
        <v>2017</v>
      </c>
      <c r="L17" s="4" t="inlineStr">
        <is>
          <t>Allies</t>
        </is>
      </c>
    </row>
    <row r="18">
      <c r="A18" s="4" t="inlineStr">
        <is>
          <t>Kane</t>
        </is>
      </c>
      <c r="B18" s="4" t="n">
        <v>15</v>
      </c>
      <c r="C18" s="4" t="n">
        <v>27</v>
      </c>
      <c r="D18" s="4" t="n">
        <v>4</v>
      </c>
      <c r="E18" s="4" t="n">
        <v>4</v>
      </c>
      <c r="F18" s="4" t="n">
        <v>2</v>
      </c>
      <c r="G18" s="4" t="n">
        <v>0</v>
      </c>
      <c r="H18" s="4" t="n">
        <v>6</v>
      </c>
      <c r="I18" s="4" t="n">
        <v>1251</v>
      </c>
      <c r="J18" s="4" t="inlineStr">
        <is>
          <t>Allies</t>
        </is>
      </c>
      <c r="K18" s="4" t="n">
        <v>939</v>
      </c>
      <c r="L18" s="4" t="inlineStr">
        <is>
          <t>Axis</t>
        </is>
      </c>
    </row>
    <row r="19">
      <c r="A19" s="4" t="inlineStr">
        <is>
          <t>Ripley</t>
        </is>
      </c>
      <c r="B19" s="4" t="n">
        <v>12</v>
      </c>
      <c r="C19" s="4" t="n">
        <v>32</v>
      </c>
      <c r="D19" s="4" t="n">
        <v>4</v>
      </c>
      <c r="E19" s="4" t="n">
        <v>1</v>
      </c>
      <c r="F19" s="4" t="n">
        <v>1</v>
      </c>
      <c r="G19" s="4" t="n">
        <v>0</v>
      </c>
      <c r="H19" s="4" t="n">
        <v>5</v>
      </c>
      <c r="I19" s="4" t="n">
        <v>594</v>
      </c>
      <c r="J19" s="4" t="inlineStr">
        <is>
          <t>Allies</t>
        </is>
      </c>
      <c r="K19" s="4" t="n">
        <v>567</v>
      </c>
      <c r="L19" s="4" t="inlineStr">
        <is>
          <t>Axis</t>
        </is>
      </c>
    </row>
    <row r="20">
      <c r="A20" s="4" t="inlineStr">
        <is>
          <t>Parker</t>
        </is>
      </c>
      <c r="B20" s="4" t="n">
        <v>11</v>
      </c>
      <c r="C20" s="4" t="n">
        <v>11</v>
      </c>
      <c r="D20" s="4" t="n">
        <v>2</v>
      </c>
      <c r="E20" s="4" t="n">
        <v>3</v>
      </c>
      <c r="F20" s="4" t="n">
        <v>1</v>
      </c>
      <c r="G20" s="4" t="n">
        <v>0</v>
      </c>
      <c r="H20" s="4" t="n">
        <v>6</v>
      </c>
      <c r="I20" s="4" t="n">
        <v>842</v>
      </c>
      <c r="J20" s="4" t="inlineStr">
        <is>
          <t>Axis</t>
        </is>
      </c>
      <c r="K20" s="4" t="n">
        <v>260</v>
      </c>
      <c r="L20" s="4" t="inlineStr">
        <is>
          <t>Allies</t>
        </is>
      </c>
    </row>
    <row r="21">
      <c r="A21" s="4" t="inlineStr">
        <is>
          <t>Pyramid</t>
        </is>
      </c>
      <c r="B21" s="4" t="n">
        <v>11</v>
      </c>
      <c r="C21" s="4" t="n">
        <v>11</v>
      </c>
      <c r="D21" s="4" t="n">
        <v>2</v>
      </c>
      <c r="E21" s="4" t="n">
        <v>1</v>
      </c>
      <c r="F21" s="4" t="n">
        <v>5</v>
      </c>
      <c r="G21" s="4" t="n">
        <v>0</v>
      </c>
      <c r="H21" s="4" t="n">
        <v>1</v>
      </c>
      <c r="I21" s="4" t="n">
        <v>1400</v>
      </c>
      <c r="J21" s="4" t="inlineStr">
        <is>
          <t>Allies</t>
        </is>
      </c>
      <c r="K21" s="4" t="n">
        <v>0</v>
      </c>
      <c r="L21" s="4" t="inlineStr"/>
    </row>
    <row r="24">
      <c r="A24" s="8" t="inlineStr">
        <is>
          <t>Half winners (by flag-capture count, a derived proxy -- see Notes)</t>
        </is>
      </c>
    </row>
    <row r="25">
      <c r="A25" t="inlineStr">
        <is>
          <t>Half 1 winner:</t>
        </is>
      </c>
      <c r="B25" t="inlineStr">
        <is>
          <t>Axis</t>
        </is>
      </c>
    </row>
    <row r="26">
      <c r="A26" t="inlineStr">
        <is>
          <t>Half 2 winner:</t>
        </is>
      </c>
      <c r="B26" t="inlineStr">
        <is>
          <t>Tie</t>
        </is>
      </c>
    </row>
  </sheetData>
  <mergeCells count="1">
    <mergeCell ref="A2:K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4"/>
  <sheetViews>
    <sheetView showGridLines="0" workbookViewId="0">
      <selection activeCell="A1" sqref="A1"/>
    </sheetView>
  </sheetViews>
  <sheetFormatPr baseColWidth="8" defaultRowHeight="15"/>
  <cols>
    <col width="140" customWidth="1" min="1" max="1"/>
  </cols>
  <sheetData>
    <row r="1">
      <c r="A1" s="1" t="inlineStr">
        <is>
          <t>Notes, scope, and known gaps</t>
        </is>
      </c>
    </row>
    <row r="2" ht="6" customHeight="1">
      <c r="A2" s="11" t="inlineStr"/>
    </row>
    <row r="3" ht="15" customHeight="1">
      <c r="A3" s="11" t="inlineStr">
        <is>
          <t>SCOPE: one recovered match (both halves, dod_anzio, 2026-08-13). Real bot-driven play, not synthetic. Not a validated baseline -- one match's worth of data, one map.</t>
        </is>
      </c>
    </row>
    <row r="4" ht="6" customHeight="1">
      <c r="A4" s="11" t="inlineStr"/>
    </row>
    <row r="5" ht="15" customHeight="1">
      <c r="A5" s="11" t="inlineStr">
        <is>
          <t>REFERENCE: dodworldseries.com publishes a KTPR system on the same underlying data source (kills, assists, damage, flags, cap breaks, deaths) this project's capture pipeline produces. Their published weights: kill efficiency 3.0x, kill volume 1.0x, assists 1.0x, cap breaks 1.0x, flags 0.7x, damage 0.5x -- clamped 0.55-2.5 per metric, position-normalized against the median of each player's position group (Rifle/Heavy/3rd/Sniper), 1.00 = average performance. This workbook's default Knobs are informed by those but are NOT a copy -- see below for what's implemented differently and why.</t>
        </is>
      </c>
    </row>
    <row r="6" ht="6" customHeight="1">
      <c r="A6" s="11" t="inlineStr"/>
    </row>
    <row r="7" ht="15" customHeight="1">
      <c r="A7" s="11" t="inlineStr">
        <is>
          <t>WHAT'S NOT YET IMPLEMENTED VS. dodworldseries.com's SYSTEM:</t>
        </is>
      </c>
    </row>
    <row r="8" ht="15" customHeight="1">
      <c r="A8" s="11" t="inlineStr">
        <is>
          <t xml:space="preserve">  1. Position normalization (median-relative scoring within Rifle/Heavy/3rd/Sniper groups). This workbook uses a flat weighted sum instead. Why: many bots in this test dataset used randomized classes (killerRole = 'Random' for several players), so a reliable per-player position bucket isn't derivable from this match alone -- forcing a bucket would be a guess, not a measurement. Real competitive play (fixed classes) would make this tractable.</t>
        </is>
      </c>
    </row>
    <row r="9" ht="15" customHeight="1">
      <c r="A9" s="11" t="inlineStr">
        <is>
          <t xml:space="preserve">  2. Per-metric clamping (0.55-2.5). Not applied here -- this workbook's weighted-sum approach doesn't have the same outlier-domination risk a ratio-based system does, but this is worth revisiting once position-normalization is added.</t>
        </is>
      </c>
    </row>
    <row r="10" ht="6" customHeight="1">
      <c r="A10" s="11" t="inlineStr"/>
    </row>
    <row r="11" ht="15" customHeight="1">
      <c r="A11" s="11" t="inlineStr">
        <is>
          <t>WHAT THIS WORKBOOK ADDS BEYOND dodworldseries.com's PUBLISHED FORMULA:</t>
        </is>
      </c>
    </row>
    <row r="12" ht="15" customHeight="1">
      <c r="A12" s="11" t="inlineStr">
        <is>
          <t xml:space="preserve">  - Headshot weight and last-flag-defense weight -- both genuinely new stats this project's own capture work added (Phase 5 and Phase 7 respectively), not present in the reference system.</t>
        </is>
      </c>
    </row>
    <row r="13" ht="15" customHeight="1">
      <c r="A13" s="11" t="inlineStr">
        <is>
          <t xml:space="preserve">  - Deaths never subtract. Kill efficiency is an ADDITIVE kills/(deaths+1) term, not a penalty -- per direct feedback that low deaths should differentiate top players without punishing anyone's honest kill count. The floor is naturally 0 (every term is non-negative).</t>
        </is>
      </c>
    </row>
    <row r="14" ht="15" customHeight="1">
      <c r="A14" s="11" t="inlineStr">
        <is>
          <t xml:space="preserve">  - Damage normalization by half win/loss is implemented as a real formula here (see Raw Data sheet for the per-half winner derivation), not just described.</t>
        </is>
      </c>
    </row>
    <row r="15" ht="6" customHeight="1">
      <c r="A15" s="11" t="inlineStr"/>
    </row>
    <row r="16" ht="15" customHeight="1">
      <c r="A16" s="11" t="inlineStr">
        <is>
          <t>FLAG CAPTURE WEIGHTING CAVEAT: this match only ever contested 2 of dod_anzio's 5 flags (POINT_BRIDGE, POINT_ANZIO_PLAZA), captured exactly 23 times each -- a tie. The other 3 flags are presumably home flags that start pre-owned and never generate a capture event. With only 2 tied data points, there's no real signal yet to weight flags differently by importance -- the Flag capture weight knob applies flatly to every capture regardless of which flag. Differentiating flag value needs either map-topology knowledge or capture-count data pooled across more matches.</t>
        </is>
      </c>
    </row>
    <row r="17" ht="6" customHeight="1">
      <c r="A17" s="11" t="inlineStr"/>
    </row>
    <row r="18" ht="15" customHeight="1">
      <c r="A18" s="11" t="inlineStr">
        <is>
          <t>HALF-WINNER DERIVATION: 'winner' per half is derived from which team captured more flags that half (Half 1: Axis 13 vs Allies 11 -&gt; Axis; Half 2: 11-11 -&gt; Tie), parsed from the raw game log. This is a PROXY, not a captured ground-truth field -- ktp_match_stats/ktp_match_players (the tables that would store an authoritative winner) are both empty in this fixture, since they're populated by KTPMatchHandler live in-game, not by this offline daemon replay.</t>
        </is>
      </c>
    </row>
    <row r="19" ht="6" customHeight="1">
      <c r="A19" s="11" t="inlineStr"/>
    </row>
    <row r="20" ht="15" customHeight="1">
      <c r="A20" s="11" t="inlineStr">
        <is>
          <t>FLAG CAPTURES AREN'T IN THE DATABASE YET: dod_capture_area events are real and frequent in the raw log, but no hlstats_Actions row is currently seeded for them, so the daemon silently drops the line. The counts on the Raw Data sheet were parsed directly from the raw log for this workbook, not read from a persisted table. Formalizing this as a real capture phase (its own migration + daemon handler, same pattern as cap_break) is a natural next step if flag-capture counting should be a persistent stat rather than a one-off log-parse.</t>
        </is>
      </c>
    </row>
    <row r="21" ht="6" customHeight="1">
      <c r="A21" s="11" t="inlineStr"/>
    </row>
    <row r="22" ht="15" customHeight="1">
      <c r="A22" s="11" t="inlineStr">
        <is>
          <t>POSITIONAL/HOLDING STATS (map presence beyond a discrete flag capture) are not in this workbook at all yet. A periodic roster-position broadcast (ktp_stats_capture.inc, KSC_POSITION_BROADCAST_SECS) was implemented and live-verified the same day this workbook was built, landing real (x, y, z, team) samples in a new ktp_position_samples table -- but turning that into a 'holding forward territory' score needs a baseline (average position per map/team) that can only be built up over many matches. This workbook doesn't attempt that yet.</t>
        </is>
      </c>
    </row>
    <row r="23" ht="6" customHeight="1">
      <c r="A23" s="11" t="inlineStr"/>
    </row>
    <row r="24" ht="15" customHeight="1">
      <c r="A24" s="11" t="inlineStr">
        <is>
          <t>REPRODUCE / REGENERATE: scripts/composite_v2.py and scripts/explore_fixture.py (KTPInfrastructure repo) compute these same numbers programmatically against the persisted fixture. This workbook's Raw Data values were pasted in from a run of those scripts on 2026-08-13 -- rerun them against a newer fixture to refresh.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2026-08-13T18:37:32Z</dcterms:created>
  <dcterms:modified xsi:type="dcterms:W3CDTF">2026-08-13T18:37:32Z</dcterms:modified>
</cp:coreProperties>
</file>