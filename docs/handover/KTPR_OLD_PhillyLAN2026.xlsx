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board" sheetId="1" state="visible" r:id="rId1"/>
    <sheet name="Knobs" sheetId="2" state="visible" r:id="rId2"/>
    <sheet name="Raw Data" sheetId="3" state="visible" r:id="rId3"/>
    <sheet name="Notes" sheetId="4" state="visible" r:id="rId4"/>
  </sheets>
  <definedNames>
    <definedName name="scale">Knobs!$B$6</definedName>
    <definedName name="kd_cap">Knobs!$B$7</definedName>
    <definedName name="flag_w_regular">Knobs!$B$8</definedName>
    <definedName name="flag_w_nonregular">Knobs!$B$9</definedName>
    <definedName name="flag_cap">Knobs!$B$10</definedName>
    <definedName name="flag_log_base">Knobs!$B$11</definedName>
    <definedName name="death_w">Knobs!$B$12</definedName>
    <definedName name="death_cap">Knobs!$B$13</definedName>
    <definedName name="part_floor">Knobs!$B$14</definedName>
    <definedName name="threshold">'Raw Data'!$B$69</definedName>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6">
    <font>
      <name val="Calibri"/>
      <family val="2"/>
      <color theme="1"/>
      <sz val="11"/>
      <scheme val="minor"/>
    </font>
    <font>
      <b val="1"/>
      <sz val="14"/>
    </font>
    <font>
      <i val="1"/>
      <color rgb="00555555"/>
    </font>
    <font>
      <i val="1"/>
      <color rgb="00777777"/>
      <sz val="9"/>
    </font>
    <font>
      <b val="1"/>
    </font>
    <font>
      <b val="1"/>
      <color rgb="00FFFFFF"/>
    </font>
  </fonts>
  <fills count="5">
    <fill>
      <patternFill/>
    </fill>
    <fill>
      <patternFill patternType="gray125"/>
    </fill>
    <fill>
      <patternFill patternType="solid">
        <fgColor rgb="001F2937"/>
      </patternFill>
    </fill>
    <fill>
      <patternFill patternType="solid">
        <fgColor rgb="00FFF2CC"/>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5" fillId="2" borderId="1" applyAlignment="1" pivotButton="0" quotePrefix="0" xfId="0">
      <alignment horizontal="center" vertical="center" wrapText="1"/>
    </xf>
    <xf numFmtId="0" fontId="0" fillId="0" borderId="1" pivotButton="0" quotePrefix="0" xfId="0"/>
    <xf numFmtId="165" fontId="4" fillId="0" borderId="1" pivotButton="0" quotePrefix="0" xfId="0"/>
    <xf numFmtId="165" fontId="0" fillId="0" borderId="1" pivotButton="0" quotePrefix="0" xfId="0"/>
    <xf numFmtId="164" fontId="0" fillId="0" borderId="1" pivotButton="0" quotePrefix="0" xfId="0"/>
    <xf numFmtId="0" fontId="4" fillId="0" borderId="0" pivotButton="0" quotePrefix="0" xfId="0"/>
    <xf numFmtId="164" fontId="0" fillId="0" borderId="0" pivotButton="0" quotePrefix="0" xfId="0"/>
    <xf numFmtId="0" fontId="3" fillId="0" borderId="0" pivotButton="0" quotePrefix="0" xfId="0"/>
    <xf numFmtId="2" fontId="0" fillId="3" borderId="1" pivotButton="0" quotePrefix="0" xfId="0"/>
    <xf numFmtId="0" fontId="0" fillId="0" borderId="0" applyAlignment="1" pivotButton="0" quotePrefix="0" xfId="0">
      <alignment wrapText="1"/>
    </xf>
    <xf numFmtId="164" fontId="0" fillId="4"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9" customWidth="1" min="3" max="3"/>
    <col width="10" customWidth="1" min="4" max="4"/>
    <col width="10" customWidth="1" min="5" max="5"/>
    <col width="10" customWidth="1" min="6" max="6"/>
    <col width="10" customWidth="1" min="7" max="7"/>
    <col width="10" customWidth="1" min="8" max="8"/>
    <col width="13" customWidth="1" min="9" max="9"/>
    <col width="15" customWidth="1" min="10" max="10"/>
    <col width="9" customWidth="1" min="11" max="11"/>
  </cols>
  <sheetData>
    <row r="1">
      <c r="A1" s="1" t="inlineStr">
        <is>
          <t>OLD KTPR — Philly LAN 2026</t>
        </is>
      </c>
    </row>
    <row r="2">
      <c r="A2" s="2" t="inlineStr">
        <is>
          <t>Live formula (Knobs sheet) next to the already-verified engine output, so agreement between them is a built-in correctness check -- independent of comparing against dodworldseries.com.</t>
        </is>
      </c>
    </row>
    <row r="4">
      <c r="A4" s="3" t="inlineStr">
        <is>
          <t>Rank</t>
        </is>
      </c>
      <c r="B4" s="3" t="inlineStr">
        <is>
          <t>Player</t>
        </is>
      </c>
      <c r="C4" s="3" t="inlineStr">
        <is>
          <t>Role</t>
        </is>
      </c>
      <c r="D4" s="3" t="inlineStr">
        <is>
          <t>Matches</t>
        </is>
      </c>
      <c r="E4" s="3" t="inlineStr">
        <is>
          <t>K/D</t>
        </is>
      </c>
      <c r="F4" s="3" t="inlineStr">
        <is>
          <t>Kills/Half</t>
        </is>
      </c>
      <c r="G4" s="3" t="inlineStr">
        <is>
          <t>Deaths/Half</t>
        </is>
      </c>
      <c r="H4" s="3" t="inlineStr">
        <is>
          <t>Flags/Half</t>
        </is>
      </c>
      <c r="I4" s="3" t="inlineStr">
        <is>
          <t>Live Old KTPR</t>
        </is>
      </c>
      <c r="J4" s="3" t="inlineStr">
        <is>
          <t>Reference (engine)</t>
        </is>
      </c>
      <c r="K4" s="3" t="inlineStr">
        <is>
          <t>Diff</t>
        </is>
      </c>
    </row>
    <row r="5">
      <c r="A5" s="4">
        <f>RANK(I5,$I$5:$I$65)</f>
        <v/>
      </c>
      <c r="B5" s="4">
        <f>'Raw Data'!A5</f>
        <v/>
      </c>
      <c r="C5" s="4">
        <f>'Raw Data'!B5</f>
        <v/>
      </c>
      <c r="D5" s="4">
        <f>'Raw Data'!C5</f>
        <v/>
      </c>
      <c r="E5" s="4">
        <f>'Raw Data'!D5</f>
        <v/>
      </c>
      <c r="F5" s="4">
        <f>'Raw Data'!F5</f>
        <v/>
      </c>
      <c r="G5" s="4">
        <f>'Raw Data'!G5</f>
        <v/>
      </c>
      <c r="H5" s="4">
        <f>'Raw Data'!J5</f>
        <v/>
      </c>
      <c r="I5" s="5">
        <f>scale*MIN(E5,kd_cap)*(F5/'Raw Data'!$B$70)*(1+MIN(LN(H5+1)/LN(flag_log_base)+IF(D5&gt;=threshold,(H5/'Raw Data'!$B$72-1)*flag_w_regular,(H5/'Raw Data'!$B$73-1)*flag_w_nonregular),flag_cap))*(1-MIN((G5/'Raw Data'!$B$71-1)*death_w,death_cap))</f>
        <v/>
      </c>
      <c r="J5" s="6">
        <f>'Raw Data'!L5</f>
        <v/>
      </c>
      <c r="K5" s="7">
        <f>I5-J5</f>
        <v/>
      </c>
    </row>
    <row r="6">
      <c r="A6" s="4">
        <f>RANK(I6,$I$5:$I$65)</f>
        <v/>
      </c>
      <c r="B6" s="4">
        <f>'Raw Data'!A6</f>
        <v/>
      </c>
      <c r="C6" s="4">
        <f>'Raw Data'!B6</f>
        <v/>
      </c>
      <c r="D6" s="4">
        <f>'Raw Data'!C6</f>
        <v/>
      </c>
      <c r="E6" s="4">
        <f>'Raw Data'!D6</f>
        <v/>
      </c>
      <c r="F6" s="4">
        <f>'Raw Data'!F6</f>
        <v/>
      </c>
      <c r="G6" s="4">
        <f>'Raw Data'!G6</f>
        <v/>
      </c>
      <c r="H6" s="4">
        <f>'Raw Data'!J6</f>
        <v/>
      </c>
      <c r="I6" s="5">
        <f>scale*MIN(E6,kd_cap)*(F6/'Raw Data'!$B$70)*(1+MIN(LN(H6+1)/LN(flag_log_base)+IF(D6&gt;=threshold,(H6/'Raw Data'!$B$72-1)*flag_w_regular,(H6/'Raw Data'!$B$73-1)*flag_w_nonregular),flag_cap))*(1-MIN((G6/'Raw Data'!$B$71-1)*death_w,death_cap))</f>
        <v/>
      </c>
      <c r="J6" s="6">
        <f>'Raw Data'!L6</f>
        <v/>
      </c>
      <c r="K6" s="7">
        <f>I6-J6</f>
        <v/>
      </c>
    </row>
    <row r="7">
      <c r="A7" s="4">
        <f>RANK(I7,$I$5:$I$65)</f>
        <v/>
      </c>
      <c r="B7" s="4">
        <f>'Raw Data'!A7</f>
        <v/>
      </c>
      <c r="C7" s="4">
        <f>'Raw Data'!B7</f>
        <v/>
      </c>
      <c r="D7" s="4">
        <f>'Raw Data'!C7</f>
        <v/>
      </c>
      <c r="E7" s="4">
        <f>'Raw Data'!D7</f>
        <v/>
      </c>
      <c r="F7" s="4">
        <f>'Raw Data'!F7</f>
        <v/>
      </c>
      <c r="G7" s="4">
        <f>'Raw Data'!G7</f>
        <v/>
      </c>
      <c r="H7" s="4">
        <f>'Raw Data'!J7</f>
        <v/>
      </c>
      <c r="I7" s="5">
        <f>scale*MIN(E7,kd_cap)*(F7/'Raw Data'!$B$70)*(1+MIN(LN(H7+1)/LN(flag_log_base)+IF(D7&gt;=threshold,(H7/'Raw Data'!$B$72-1)*flag_w_regular,(H7/'Raw Data'!$B$73-1)*flag_w_nonregular),flag_cap))*(1-MIN((G7/'Raw Data'!$B$71-1)*death_w,death_cap))</f>
        <v/>
      </c>
      <c r="J7" s="6">
        <f>'Raw Data'!L7</f>
        <v/>
      </c>
      <c r="K7" s="7">
        <f>I7-J7</f>
        <v/>
      </c>
    </row>
    <row r="8">
      <c r="A8" s="4">
        <f>RANK(I8,$I$5:$I$65)</f>
        <v/>
      </c>
      <c r="B8" s="4">
        <f>'Raw Data'!A8</f>
        <v/>
      </c>
      <c r="C8" s="4">
        <f>'Raw Data'!B8</f>
        <v/>
      </c>
      <c r="D8" s="4">
        <f>'Raw Data'!C8</f>
        <v/>
      </c>
      <c r="E8" s="4">
        <f>'Raw Data'!D8</f>
        <v/>
      </c>
      <c r="F8" s="4">
        <f>'Raw Data'!F8</f>
        <v/>
      </c>
      <c r="G8" s="4">
        <f>'Raw Data'!G8</f>
        <v/>
      </c>
      <c r="H8" s="4">
        <f>'Raw Data'!J8</f>
        <v/>
      </c>
      <c r="I8" s="5">
        <f>scale*MIN(E8,kd_cap)*(F8/'Raw Data'!$B$70)*(1+MIN(LN(H8+1)/LN(flag_log_base)+IF(D8&gt;=threshold,(H8/'Raw Data'!$B$72-1)*flag_w_regular,(H8/'Raw Data'!$B$73-1)*flag_w_nonregular),flag_cap))*(1-MIN((G8/'Raw Data'!$B$71-1)*death_w,death_cap))</f>
        <v/>
      </c>
      <c r="J8" s="6">
        <f>'Raw Data'!L8</f>
        <v/>
      </c>
      <c r="K8" s="7">
        <f>I8-J8</f>
        <v/>
      </c>
    </row>
    <row r="9">
      <c r="A9" s="4">
        <f>RANK(I9,$I$5:$I$65)</f>
        <v/>
      </c>
      <c r="B9" s="4">
        <f>'Raw Data'!A9</f>
        <v/>
      </c>
      <c r="C9" s="4">
        <f>'Raw Data'!B9</f>
        <v/>
      </c>
      <c r="D9" s="4">
        <f>'Raw Data'!C9</f>
        <v/>
      </c>
      <c r="E9" s="4">
        <f>'Raw Data'!D9</f>
        <v/>
      </c>
      <c r="F9" s="4">
        <f>'Raw Data'!F9</f>
        <v/>
      </c>
      <c r="G9" s="4">
        <f>'Raw Data'!G9</f>
        <v/>
      </c>
      <c r="H9" s="4">
        <f>'Raw Data'!J9</f>
        <v/>
      </c>
      <c r="I9" s="5">
        <f>scale*MIN(E9,kd_cap)*(F9/'Raw Data'!$B$70)*(1+MIN(LN(H9+1)/LN(flag_log_base)+IF(D9&gt;=threshold,(H9/'Raw Data'!$B$72-1)*flag_w_regular,(H9/'Raw Data'!$B$73-1)*flag_w_nonregular),flag_cap))*(1-MIN((G9/'Raw Data'!$B$71-1)*death_w,death_cap))</f>
        <v/>
      </c>
      <c r="J9" s="6">
        <f>'Raw Data'!L9</f>
        <v/>
      </c>
      <c r="K9" s="7">
        <f>I9-J9</f>
        <v/>
      </c>
    </row>
    <row r="10">
      <c r="A10" s="4">
        <f>RANK(I10,$I$5:$I$65)</f>
        <v/>
      </c>
      <c r="B10" s="4">
        <f>'Raw Data'!A10</f>
        <v/>
      </c>
      <c r="C10" s="4">
        <f>'Raw Data'!B10</f>
        <v/>
      </c>
      <c r="D10" s="4">
        <f>'Raw Data'!C10</f>
        <v/>
      </c>
      <c r="E10" s="4">
        <f>'Raw Data'!D10</f>
        <v/>
      </c>
      <c r="F10" s="4">
        <f>'Raw Data'!F10</f>
        <v/>
      </c>
      <c r="G10" s="4">
        <f>'Raw Data'!G10</f>
        <v/>
      </c>
      <c r="H10" s="4">
        <f>'Raw Data'!J10</f>
        <v/>
      </c>
      <c r="I10" s="5">
        <f>scale*MIN(E10,kd_cap)*(F10/'Raw Data'!$B$70)*(1+MIN(LN(H10+1)/LN(flag_log_base)+IF(D10&gt;=threshold,(H10/'Raw Data'!$B$72-1)*flag_w_regular,(H10/'Raw Data'!$B$73-1)*flag_w_nonregular),flag_cap))*(1-MIN((G10/'Raw Data'!$B$71-1)*death_w,death_cap))</f>
        <v/>
      </c>
      <c r="J10" s="6">
        <f>'Raw Data'!L10</f>
        <v/>
      </c>
      <c r="K10" s="7">
        <f>I10-J10</f>
        <v/>
      </c>
    </row>
    <row r="11">
      <c r="A11" s="4">
        <f>RANK(I11,$I$5:$I$65)</f>
        <v/>
      </c>
      <c r="B11" s="4">
        <f>'Raw Data'!A11</f>
        <v/>
      </c>
      <c r="C11" s="4">
        <f>'Raw Data'!B11</f>
        <v/>
      </c>
      <c r="D11" s="4">
        <f>'Raw Data'!C11</f>
        <v/>
      </c>
      <c r="E11" s="4">
        <f>'Raw Data'!D11</f>
        <v/>
      </c>
      <c r="F11" s="4">
        <f>'Raw Data'!F11</f>
        <v/>
      </c>
      <c r="G11" s="4">
        <f>'Raw Data'!G11</f>
        <v/>
      </c>
      <c r="H11" s="4">
        <f>'Raw Data'!J11</f>
        <v/>
      </c>
      <c r="I11" s="5">
        <f>scale*MIN(E11,kd_cap)*(F11/'Raw Data'!$B$70)*(1+MIN(LN(H11+1)/LN(flag_log_base)+IF(D11&gt;=threshold,(H11/'Raw Data'!$B$72-1)*flag_w_regular,(H11/'Raw Data'!$B$73-1)*flag_w_nonregular),flag_cap))*(1-MIN((G11/'Raw Data'!$B$71-1)*death_w,death_cap))</f>
        <v/>
      </c>
      <c r="J11" s="6">
        <f>'Raw Data'!L11</f>
        <v/>
      </c>
      <c r="K11" s="7">
        <f>I11-J11</f>
        <v/>
      </c>
    </row>
    <row r="12">
      <c r="A12" s="4">
        <f>RANK(I12,$I$5:$I$65)</f>
        <v/>
      </c>
      <c r="B12" s="4">
        <f>'Raw Data'!A12</f>
        <v/>
      </c>
      <c r="C12" s="4">
        <f>'Raw Data'!B12</f>
        <v/>
      </c>
      <c r="D12" s="4">
        <f>'Raw Data'!C12</f>
        <v/>
      </c>
      <c r="E12" s="4">
        <f>'Raw Data'!D12</f>
        <v/>
      </c>
      <c r="F12" s="4">
        <f>'Raw Data'!F12</f>
        <v/>
      </c>
      <c r="G12" s="4">
        <f>'Raw Data'!G12</f>
        <v/>
      </c>
      <c r="H12" s="4">
        <f>'Raw Data'!J12</f>
        <v/>
      </c>
      <c r="I12" s="5">
        <f>scale*MIN(E12,kd_cap)*(F12/'Raw Data'!$B$70)*(1+MIN(LN(H12+1)/LN(flag_log_base)+IF(D12&gt;=threshold,(H12/'Raw Data'!$B$72-1)*flag_w_regular,(H12/'Raw Data'!$B$73-1)*flag_w_nonregular),flag_cap))*(1-MIN((G12/'Raw Data'!$B$71-1)*death_w,death_cap))</f>
        <v/>
      </c>
      <c r="J12" s="6">
        <f>'Raw Data'!L12</f>
        <v/>
      </c>
      <c r="K12" s="7">
        <f>I12-J12</f>
        <v/>
      </c>
    </row>
    <row r="13">
      <c r="A13" s="4">
        <f>RANK(I13,$I$5:$I$65)</f>
        <v/>
      </c>
      <c r="B13" s="4">
        <f>'Raw Data'!A13</f>
        <v/>
      </c>
      <c r="C13" s="4">
        <f>'Raw Data'!B13</f>
        <v/>
      </c>
      <c r="D13" s="4">
        <f>'Raw Data'!C13</f>
        <v/>
      </c>
      <c r="E13" s="4">
        <f>'Raw Data'!D13</f>
        <v/>
      </c>
      <c r="F13" s="4">
        <f>'Raw Data'!F13</f>
        <v/>
      </c>
      <c r="G13" s="4">
        <f>'Raw Data'!G13</f>
        <v/>
      </c>
      <c r="H13" s="4">
        <f>'Raw Data'!J13</f>
        <v/>
      </c>
      <c r="I13" s="5">
        <f>scale*MIN(E13,kd_cap)*(F13/'Raw Data'!$B$70)*(1+MIN(LN(H13+1)/LN(flag_log_base)+IF(D13&gt;=threshold,(H13/'Raw Data'!$B$72-1)*flag_w_regular,(H13/'Raw Data'!$B$73-1)*flag_w_nonregular),flag_cap))*(1-MIN((G13/'Raw Data'!$B$71-1)*death_w,death_cap))</f>
        <v/>
      </c>
      <c r="J13" s="6">
        <f>'Raw Data'!L13</f>
        <v/>
      </c>
      <c r="K13" s="7">
        <f>I13-J13</f>
        <v/>
      </c>
    </row>
    <row r="14">
      <c r="A14" s="4">
        <f>RANK(I14,$I$5:$I$65)</f>
        <v/>
      </c>
      <c r="B14" s="4">
        <f>'Raw Data'!A14</f>
        <v/>
      </c>
      <c r="C14" s="4">
        <f>'Raw Data'!B14</f>
        <v/>
      </c>
      <c r="D14" s="4">
        <f>'Raw Data'!C14</f>
        <v/>
      </c>
      <c r="E14" s="4">
        <f>'Raw Data'!D14</f>
        <v/>
      </c>
      <c r="F14" s="4">
        <f>'Raw Data'!F14</f>
        <v/>
      </c>
      <c r="G14" s="4">
        <f>'Raw Data'!G14</f>
        <v/>
      </c>
      <c r="H14" s="4">
        <f>'Raw Data'!J14</f>
        <v/>
      </c>
      <c r="I14" s="5">
        <f>scale*MIN(E14,kd_cap)*(F14/'Raw Data'!$B$70)*(1+MIN(LN(H14+1)/LN(flag_log_base)+IF(D14&gt;=threshold,(H14/'Raw Data'!$B$72-1)*flag_w_regular,(H14/'Raw Data'!$B$73-1)*flag_w_nonregular),flag_cap))*(1-MIN((G14/'Raw Data'!$B$71-1)*death_w,death_cap))</f>
        <v/>
      </c>
      <c r="J14" s="6">
        <f>'Raw Data'!L14</f>
        <v/>
      </c>
      <c r="K14" s="7">
        <f>I14-J14</f>
        <v/>
      </c>
    </row>
    <row r="15">
      <c r="A15" s="4">
        <f>RANK(I15,$I$5:$I$65)</f>
        <v/>
      </c>
      <c r="B15" s="4">
        <f>'Raw Data'!A15</f>
        <v/>
      </c>
      <c r="C15" s="4">
        <f>'Raw Data'!B15</f>
        <v/>
      </c>
      <c r="D15" s="4">
        <f>'Raw Data'!C15</f>
        <v/>
      </c>
      <c r="E15" s="4">
        <f>'Raw Data'!D15</f>
        <v/>
      </c>
      <c r="F15" s="4">
        <f>'Raw Data'!F15</f>
        <v/>
      </c>
      <c r="G15" s="4">
        <f>'Raw Data'!G15</f>
        <v/>
      </c>
      <c r="H15" s="4">
        <f>'Raw Data'!J15</f>
        <v/>
      </c>
      <c r="I15" s="5">
        <f>scale*MIN(E15,kd_cap)*(F15/'Raw Data'!$B$70)*(1+MIN(LN(H15+1)/LN(flag_log_base)+IF(D15&gt;=threshold,(H15/'Raw Data'!$B$72-1)*flag_w_regular,(H15/'Raw Data'!$B$73-1)*flag_w_nonregular),flag_cap))*(1-MIN((G15/'Raw Data'!$B$71-1)*death_w,death_cap))</f>
        <v/>
      </c>
      <c r="J15" s="6">
        <f>'Raw Data'!L15</f>
        <v/>
      </c>
      <c r="K15" s="7">
        <f>I15-J15</f>
        <v/>
      </c>
    </row>
    <row r="16">
      <c r="A16" s="4">
        <f>RANK(I16,$I$5:$I$65)</f>
        <v/>
      </c>
      <c r="B16" s="4">
        <f>'Raw Data'!A16</f>
        <v/>
      </c>
      <c r="C16" s="4">
        <f>'Raw Data'!B16</f>
        <v/>
      </c>
      <c r="D16" s="4">
        <f>'Raw Data'!C16</f>
        <v/>
      </c>
      <c r="E16" s="4">
        <f>'Raw Data'!D16</f>
        <v/>
      </c>
      <c r="F16" s="4">
        <f>'Raw Data'!F16</f>
        <v/>
      </c>
      <c r="G16" s="4">
        <f>'Raw Data'!G16</f>
        <v/>
      </c>
      <c r="H16" s="4">
        <f>'Raw Data'!J16</f>
        <v/>
      </c>
      <c r="I16" s="5">
        <f>scale*MIN(E16,kd_cap)*(F16/'Raw Data'!$B$70)*(1+MIN(LN(H16+1)/LN(flag_log_base)+IF(D16&gt;=threshold,(H16/'Raw Data'!$B$72-1)*flag_w_regular,(H16/'Raw Data'!$B$73-1)*flag_w_nonregular),flag_cap))*(1-MIN((G16/'Raw Data'!$B$71-1)*death_w,death_cap))</f>
        <v/>
      </c>
      <c r="J16" s="6">
        <f>'Raw Data'!L16</f>
        <v/>
      </c>
      <c r="K16" s="7">
        <f>I16-J16</f>
        <v/>
      </c>
    </row>
    <row r="17">
      <c r="A17" s="4">
        <f>RANK(I17,$I$5:$I$65)</f>
        <v/>
      </c>
      <c r="B17" s="4">
        <f>'Raw Data'!A17</f>
        <v/>
      </c>
      <c r="C17" s="4">
        <f>'Raw Data'!B17</f>
        <v/>
      </c>
      <c r="D17" s="4">
        <f>'Raw Data'!C17</f>
        <v/>
      </c>
      <c r="E17" s="4">
        <f>'Raw Data'!D17</f>
        <v/>
      </c>
      <c r="F17" s="4">
        <f>'Raw Data'!F17</f>
        <v/>
      </c>
      <c r="G17" s="4">
        <f>'Raw Data'!G17</f>
        <v/>
      </c>
      <c r="H17" s="4">
        <f>'Raw Data'!J17</f>
        <v/>
      </c>
      <c r="I17" s="5">
        <f>scale*MIN(E17,kd_cap)*(F17/'Raw Data'!$B$70)*(1+MIN(LN(H17+1)/LN(flag_log_base)+IF(D17&gt;=threshold,(H17/'Raw Data'!$B$72-1)*flag_w_regular,(H17/'Raw Data'!$B$73-1)*flag_w_nonregular),flag_cap))*(1-MIN((G17/'Raw Data'!$B$71-1)*death_w,death_cap))</f>
        <v/>
      </c>
      <c r="J17" s="6">
        <f>'Raw Data'!L17</f>
        <v/>
      </c>
      <c r="K17" s="7">
        <f>I17-J17</f>
        <v/>
      </c>
    </row>
    <row r="18">
      <c r="A18" s="4">
        <f>RANK(I18,$I$5:$I$65)</f>
        <v/>
      </c>
      <c r="B18" s="4">
        <f>'Raw Data'!A18</f>
        <v/>
      </c>
      <c r="C18" s="4">
        <f>'Raw Data'!B18</f>
        <v/>
      </c>
      <c r="D18" s="4">
        <f>'Raw Data'!C18</f>
        <v/>
      </c>
      <c r="E18" s="4">
        <f>'Raw Data'!D18</f>
        <v/>
      </c>
      <c r="F18" s="4">
        <f>'Raw Data'!F18</f>
        <v/>
      </c>
      <c r="G18" s="4">
        <f>'Raw Data'!G18</f>
        <v/>
      </c>
      <c r="H18" s="4">
        <f>'Raw Data'!J18</f>
        <v/>
      </c>
      <c r="I18" s="5">
        <f>scale*MIN(E18,kd_cap)*(F18/'Raw Data'!$B$70)*(1+MIN(LN(H18+1)/LN(flag_log_base)+IF(D18&gt;=threshold,(H18/'Raw Data'!$B$72-1)*flag_w_regular,(H18/'Raw Data'!$B$73-1)*flag_w_nonregular),flag_cap))*(1-MIN((G18/'Raw Data'!$B$71-1)*death_w,death_cap))</f>
        <v/>
      </c>
      <c r="J18" s="6">
        <f>'Raw Data'!L18</f>
        <v/>
      </c>
      <c r="K18" s="7">
        <f>I18-J18</f>
        <v/>
      </c>
    </row>
    <row r="19">
      <c r="A19" s="4">
        <f>RANK(I19,$I$5:$I$65)</f>
        <v/>
      </c>
      <c r="B19" s="4">
        <f>'Raw Data'!A19</f>
        <v/>
      </c>
      <c r="C19" s="4">
        <f>'Raw Data'!B19</f>
        <v/>
      </c>
      <c r="D19" s="4">
        <f>'Raw Data'!C19</f>
        <v/>
      </c>
      <c r="E19" s="4">
        <f>'Raw Data'!D19</f>
        <v/>
      </c>
      <c r="F19" s="4">
        <f>'Raw Data'!F19</f>
        <v/>
      </c>
      <c r="G19" s="4">
        <f>'Raw Data'!G19</f>
        <v/>
      </c>
      <c r="H19" s="4">
        <f>'Raw Data'!J19</f>
        <v/>
      </c>
      <c r="I19" s="5">
        <f>scale*MIN(E19,kd_cap)*(F19/'Raw Data'!$B$70)*(1+MIN(LN(H19+1)/LN(flag_log_base)+IF(D19&gt;=threshold,(H19/'Raw Data'!$B$72-1)*flag_w_regular,(H19/'Raw Data'!$B$73-1)*flag_w_nonregular),flag_cap))*(1-MIN((G19/'Raw Data'!$B$71-1)*death_w,death_cap))</f>
        <v/>
      </c>
      <c r="J19" s="6">
        <f>'Raw Data'!L19</f>
        <v/>
      </c>
      <c r="K19" s="7">
        <f>I19-J19</f>
        <v/>
      </c>
    </row>
    <row r="20">
      <c r="A20" s="4">
        <f>RANK(I20,$I$5:$I$65)</f>
        <v/>
      </c>
      <c r="B20" s="4">
        <f>'Raw Data'!A20</f>
        <v/>
      </c>
      <c r="C20" s="4">
        <f>'Raw Data'!B20</f>
        <v/>
      </c>
      <c r="D20" s="4">
        <f>'Raw Data'!C20</f>
        <v/>
      </c>
      <c r="E20" s="4">
        <f>'Raw Data'!D20</f>
        <v/>
      </c>
      <c r="F20" s="4">
        <f>'Raw Data'!F20</f>
        <v/>
      </c>
      <c r="G20" s="4">
        <f>'Raw Data'!G20</f>
        <v/>
      </c>
      <c r="H20" s="4">
        <f>'Raw Data'!J20</f>
        <v/>
      </c>
      <c r="I20" s="5">
        <f>scale*MIN(E20,kd_cap)*(F20/'Raw Data'!$B$70)*(1+MIN(LN(H20+1)/LN(flag_log_base)+IF(D20&gt;=threshold,(H20/'Raw Data'!$B$72-1)*flag_w_regular,(H20/'Raw Data'!$B$73-1)*flag_w_nonregular),flag_cap))*(1-MIN((G20/'Raw Data'!$B$71-1)*death_w,death_cap))</f>
        <v/>
      </c>
      <c r="J20" s="6">
        <f>'Raw Data'!L20</f>
        <v/>
      </c>
      <c r="K20" s="7">
        <f>I20-J20</f>
        <v/>
      </c>
    </row>
    <row r="21">
      <c r="A21" s="4">
        <f>RANK(I21,$I$5:$I$65)</f>
        <v/>
      </c>
      <c r="B21" s="4">
        <f>'Raw Data'!A21</f>
        <v/>
      </c>
      <c r="C21" s="4">
        <f>'Raw Data'!B21</f>
        <v/>
      </c>
      <c r="D21" s="4">
        <f>'Raw Data'!C21</f>
        <v/>
      </c>
      <c r="E21" s="4">
        <f>'Raw Data'!D21</f>
        <v/>
      </c>
      <c r="F21" s="4">
        <f>'Raw Data'!F21</f>
        <v/>
      </c>
      <c r="G21" s="4">
        <f>'Raw Data'!G21</f>
        <v/>
      </c>
      <c r="H21" s="4">
        <f>'Raw Data'!J21</f>
        <v/>
      </c>
      <c r="I21" s="5">
        <f>scale*MIN(E21,kd_cap)*(F21/'Raw Data'!$B$70)*(1+MIN(LN(H21+1)/LN(flag_log_base)+IF(D21&gt;=threshold,(H21/'Raw Data'!$B$72-1)*flag_w_regular,(H21/'Raw Data'!$B$73-1)*flag_w_nonregular),flag_cap))*(1-MIN((G21/'Raw Data'!$B$71-1)*death_w,death_cap))</f>
        <v/>
      </c>
      <c r="J21" s="6">
        <f>'Raw Data'!L21</f>
        <v/>
      </c>
      <c r="K21" s="7">
        <f>I21-J21</f>
        <v/>
      </c>
    </row>
    <row r="22">
      <c r="A22" s="4">
        <f>RANK(I22,$I$5:$I$65)</f>
        <v/>
      </c>
      <c r="B22" s="4">
        <f>'Raw Data'!A22</f>
        <v/>
      </c>
      <c r="C22" s="4">
        <f>'Raw Data'!B22</f>
        <v/>
      </c>
      <c r="D22" s="4">
        <f>'Raw Data'!C22</f>
        <v/>
      </c>
      <c r="E22" s="4">
        <f>'Raw Data'!D22</f>
        <v/>
      </c>
      <c r="F22" s="4">
        <f>'Raw Data'!F22</f>
        <v/>
      </c>
      <c r="G22" s="4">
        <f>'Raw Data'!G22</f>
        <v/>
      </c>
      <c r="H22" s="4">
        <f>'Raw Data'!J22</f>
        <v/>
      </c>
      <c r="I22" s="5">
        <f>scale*MIN(E22,kd_cap)*(F22/'Raw Data'!$B$70)*(1+MIN(LN(H22+1)/LN(flag_log_base)+IF(D22&gt;=threshold,(H22/'Raw Data'!$B$72-1)*flag_w_regular,(H22/'Raw Data'!$B$73-1)*flag_w_nonregular),flag_cap))*(1-MIN((G22/'Raw Data'!$B$71-1)*death_w,death_cap))</f>
        <v/>
      </c>
      <c r="J22" s="6">
        <f>'Raw Data'!L22</f>
        <v/>
      </c>
      <c r="K22" s="7">
        <f>I22-J22</f>
        <v/>
      </c>
    </row>
    <row r="23">
      <c r="A23" s="4">
        <f>RANK(I23,$I$5:$I$65)</f>
        <v/>
      </c>
      <c r="B23" s="4">
        <f>'Raw Data'!A23</f>
        <v/>
      </c>
      <c r="C23" s="4">
        <f>'Raw Data'!B23</f>
        <v/>
      </c>
      <c r="D23" s="4">
        <f>'Raw Data'!C23</f>
        <v/>
      </c>
      <c r="E23" s="4">
        <f>'Raw Data'!D23</f>
        <v/>
      </c>
      <c r="F23" s="4">
        <f>'Raw Data'!F23</f>
        <v/>
      </c>
      <c r="G23" s="4">
        <f>'Raw Data'!G23</f>
        <v/>
      </c>
      <c r="H23" s="4">
        <f>'Raw Data'!J23</f>
        <v/>
      </c>
      <c r="I23" s="5">
        <f>scale*MIN(E23,kd_cap)*(F23/'Raw Data'!$B$70)*(1+MIN(LN(H23+1)/LN(flag_log_base)+IF(D23&gt;=threshold,(H23/'Raw Data'!$B$72-1)*flag_w_regular,(H23/'Raw Data'!$B$73-1)*flag_w_nonregular),flag_cap))*(1-MIN((G23/'Raw Data'!$B$71-1)*death_w,death_cap))</f>
        <v/>
      </c>
      <c r="J23" s="6">
        <f>'Raw Data'!L23</f>
        <v/>
      </c>
      <c r="K23" s="7">
        <f>I23-J23</f>
        <v/>
      </c>
    </row>
    <row r="24">
      <c r="A24" s="4">
        <f>RANK(I24,$I$5:$I$65)</f>
        <v/>
      </c>
      <c r="B24" s="4">
        <f>'Raw Data'!A24</f>
        <v/>
      </c>
      <c r="C24" s="4">
        <f>'Raw Data'!B24</f>
        <v/>
      </c>
      <c r="D24" s="4">
        <f>'Raw Data'!C24</f>
        <v/>
      </c>
      <c r="E24" s="4">
        <f>'Raw Data'!D24</f>
        <v/>
      </c>
      <c r="F24" s="4">
        <f>'Raw Data'!F24</f>
        <v/>
      </c>
      <c r="G24" s="4">
        <f>'Raw Data'!G24</f>
        <v/>
      </c>
      <c r="H24" s="4">
        <f>'Raw Data'!J24</f>
        <v/>
      </c>
      <c r="I24" s="5">
        <f>scale*MIN(E24,kd_cap)*(F24/'Raw Data'!$B$70)*(1+MIN(LN(H24+1)/LN(flag_log_base)+IF(D24&gt;=threshold,(H24/'Raw Data'!$B$72-1)*flag_w_regular,(H24/'Raw Data'!$B$73-1)*flag_w_nonregular),flag_cap))*(1-MIN((G24/'Raw Data'!$B$71-1)*death_w,death_cap))</f>
        <v/>
      </c>
      <c r="J24" s="6">
        <f>'Raw Data'!L24</f>
        <v/>
      </c>
      <c r="K24" s="7">
        <f>I24-J24</f>
        <v/>
      </c>
    </row>
    <row r="25">
      <c r="A25" s="4">
        <f>RANK(I25,$I$5:$I$65)</f>
        <v/>
      </c>
      <c r="B25" s="4">
        <f>'Raw Data'!A25</f>
        <v/>
      </c>
      <c r="C25" s="4">
        <f>'Raw Data'!B25</f>
        <v/>
      </c>
      <c r="D25" s="4">
        <f>'Raw Data'!C25</f>
        <v/>
      </c>
      <c r="E25" s="4">
        <f>'Raw Data'!D25</f>
        <v/>
      </c>
      <c r="F25" s="4">
        <f>'Raw Data'!F25</f>
        <v/>
      </c>
      <c r="G25" s="4">
        <f>'Raw Data'!G25</f>
        <v/>
      </c>
      <c r="H25" s="4">
        <f>'Raw Data'!J25</f>
        <v/>
      </c>
      <c r="I25" s="5">
        <f>scale*MIN(E25,kd_cap)*(F25/'Raw Data'!$B$70)*(1+MIN(LN(H25+1)/LN(flag_log_base)+IF(D25&gt;=threshold,(H25/'Raw Data'!$B$72-1)*flag_w_regular,(H25/'Raw Data'!$B$73-1)*flag_w_nonregular),flag_cap))*(1-MIN((G25/'Raw Data'!$B$71-1)*death_w,death_cap))</f>
        <v/>
      </c>
      <c r="J25" s="6">
        <f>'Raw Data'!L25</f>
        <v/>
      </c>
      <c r="K25" s="7">
        <f>I25-J25</f>
        <v/>
      </c>
    </row>
    <row r="26">
      <c r="A26" s="4">
        <f>RANK(I26,$I$5:$I$65)</f>
        <v/>
      </c>
      <c r="B26" s="4">
        <f>'Raw Data'!A26</f>
        <v/>
      </c>
      <c r="C26" s="4">
        <f>'Raw Data'!B26</f>
        <v/>
      </c>
      <c r="D26" s="4">
        <f>'Raw Data'!C26</f>
        <v/>
      </c>
      <c r="E26" s="4">
        <f>'Raw Data'!D26</f>
        <v/>
      </c>
      <c r="F26" s="4">
        <f>'Raw Data'!F26</f>
        <v/>
      </c>
      <c r="G26" s="4">
        <f>'Raw Data'!G26</f>
        <v/>
      </c>
      <c r="H26" s="4">
        <f>'Raw Data'!J26</f>
        <v/>
      </c>
      <c r="I26" s="5">
        <f>scale*MIN(E26,kd_cap)*(F26/'Raw Data'!$B$70)*(1+MIN(LN(H26+1)/LN(flag_log_base)+IF(D26&gt;=threshold,(H26/'Raw Data'!$B$72-1)*flag_w_regular,(H26/'Raw Data'!$B$73-1)*flag_w_nonregular),flag_cap))*(1-MIN((G26/'Raw Data'!$B$71-1)*death_w,death_cap))</f>
        <v/>
      </c>
      <c r="J26" s="6">
        <f>'Raw Data'!L26</f>
        <v/>
      </c>
      <c r="K26" s="7">
        <f>I26-J26</f>
        <v/>
      </c>
    </row>
    <row r="27">
      <c r="A27" s="4">
        <f>RANK(I27,$I$5:$I$65)</f>
        <v/>
      </c>
      <c r="B27" s="4">
        <f>'Raw Data'!A27</f>
        <v/>
      </c>
      <c r="C27" s="4">
        <f>'Raw Data'!B27</f>
        <v/>
      </c>
      <c r="D27" s="4">
        <f>'Raw Data'!C27</f>
        <v/>
      </c>
      <c r="E27" s="4">
        <f>'Raw Data'!D27</f>
        <v/>
      </c>
      <c r="F27" s="4">
        <f>'Raw Data'!F27</f>
        <v/>
      </c>
      <c r="G27" s="4">
        <f>'Raw Data'!G27</f>
        <v/>
      </c>
      <c r="H27" s="4">
        <f>'Raw Data'!J27</f>
        <v/>
      </c>
      <c r="I27" s="5">
        <f>scale*MIN(E27,kd_cap)*(F27/'Raw Data'!$B$70)*(1+MIN(LN(H27+1)/LN(flag_log_base)+IF(D27&gt;=threshold,(H27/'Raw Data'!$B$72-1)*flag_w_regular,(H27/'Raw Data'!$B$73-1)*flag_w_nonregular),flag_cap))*(1-MIN((G27/'Raw Data'!$B$71-1)*death_w,death_cap))</f>
        <v/>
      </c>
      <c r="J27" s="6">
        <f>'Raw Data'!L27</f>
        <v/>
      </c>
      <c r="K27" s="7">
        <f>I27-J27</f>
        <v/>
      </c>
    </row>
    <row r="28">
      <c r="A28" s="4">
        <f>RANK(I28,$I$5:$I$65)</f>
        <v/>
      </c>
      <c r="B28" s="4">
        <f>'Raw Data'!A28</f>
        <v/>
      </c>
      <c r="C28" s="4">
        <f>'Raw Data'!B28</f>
        <v/>
      </c>
      <c r="D28" s="4">
        <f>'Raw Data'!C28</f>
        <v/>
      </c>
      <c r="E28" s="4">
        <f>'Raw Data'!D28</f>
        <v/>
      </c>
      <c r="F28" s="4">
        <f>'Raw Data'!F28</f>
        <v/>
      </c>
      <c r="G28" s="4">
        <f>'Raw Data'!G28</f>
        <v/>
      </c>
      <c r="H28" s="4">
        <f>'Raw Data'!J28</f>
        <v/>
      </c>
      <c r="I28" s="5">
        <f>scale*MIN(E28,kd_cap)*(F28/'Raw Data'!$B$70)*(1+MIN(LN(H28+1)/LN(flag_log_base)+IF(D28&gt;=threshold,(H28/'Raw Data'!$B$72-1)*flag_w_regular,(H28/'Raw Data'!$B$73-1)*flag_w_nonregular),flag_cap))*(1-MIN((G28/'Raw Data'!$B$71-1)*death_w,death_cap))</f>
        <v/>
      </c>
      <c r="J28" s="6">
        <f>'Raw Data'!L28</f>
        <v/>
      </c>
      <c r="K28" s="7">
        <f>I28-J28</f>
        <v/>
      </c>
    </row>
    <row r="29">
      <c r="A29" s="4">
        <f>RANK(I29,$I$5:$I$65)</f>
        <v/>
      </c>
      <c r="B29" s="4">
        <f>'Raw Data'!A29</f>
        <v/>
      </c>
      <c r="C29" s="4">
        <f>'Raw Data'!B29</f>
        <v/>
      </c>
      <c r="D29" s="4">
        <f>'Raw Data'!C29</f>
        <v/>
      </c>
      <c r="E29" s="4">
        <f>'Raw Data'!D29</f>
        <v/>
      </c>
      <c r="F29" s="4">
        <f>'Raw Data'!F29</f>
        <v/>
      </c>
      <c r="G29" s="4">
        <f>'Raw Data'!G29</f>
        <v/>
      </c>
      <c r="H29" s="4">
        <f>'Raw Data'!J29</f>
        <v/>
      </c>
      <c r="I29" s="5">
        <f>scale*MIN(E29,kd_cap)*(F29/'Raw Data'!$B$70)*(1+MIN(LN(H29+1)/LN(flag_log_base)+IF(D29&gt;=threshold,(H29/'Raw Data'!$B$72-1)*flag_w_regular,(H29/'Raw Data'!$B$73-1)*flag_w_nonregular),flag_cap))*(1-MIN((G29/'Raw Data'!$B$71-1)*death_w,death_cap))</f>
        <v/>
      </c>
      <c r="J29" s="6">
        <f>'Raw Data'!L29</f>
        <v/>
      </c>
      <c r="K29" s="7">
        <f>I29-J29</f>
        <v/>
      </c>
    </row>
    <row r="30">
      <c r="A30" s="4">
        <f>RANK(I30,$I$5:$I$65)</f>
        <v/>
      </c>
      <c r="B30" s="4">
        <f>'Raw Data'!A30</f>
        <v/>
      </c>
      <c r="C30" s="4">
        <f>'Raw Data'!B30</f>
        <v/>
      </c>
      <c r="D30" s="4">
        <f>'Raw Data'!C30</f>
        <v/>
      </c>
      <c r="E30" s="4">
        <f>'Raw Data'!D30</f>
        <v/>
      </c>
      <c r="F30" s="4">
        <f>'Raw Data'!F30</f>
        <v/>
      </c>
      <c r="G30" s="4">
        <f>'Raw Data'!G30</f>
        <v/>
      </c>
      <c r="H30" s="4">
        <f>'Raw Data'!J30</f>
        <v/>
      </c>
      <c r="I30" s="5">
        <f>scale*MIN(E30,kd_cap)*(F30/'Raw Data'!$B$70)*(1+MIN(LN(H30+1)/LN(flag_log_base)+IF(D30&gt;=threshold,(H30/'Raw Data'!$B$72-1)*flag_w_regular,(H30/'Raw Data'!$B$73-1)*flag_w_nonregular),flag_cap))*(1-MIN((G30/'Raw Data'!$B$71-1)*death_w,death_cap))</f>
        <v/>
      </c>
      <c r="J30" s="6">
        <f>'Raw Data'!L30</f>
        <v/>
      </c>
      <c r="K30" s="7">
        <f>I30-J30</f>
        <v/>
      </c>
    </row>
    <row r="31">
      <c r="A31" s="4">
        <f>RANK(I31,$I$5:$I$65)</f>
        <v/>
      </c>
      <c r="B31" s="4">
        <f>'Raw Data'!A31</f>
        <v/>
      </c>
      <c r="C31" s="4">
        <f>'Raw Data'!B31</f>
        <v/>
      </c>
      <c r="D31" s="4">
        <f>'Raw Data'!C31</f>
        <v/>
      </c>
      <c r="E31" s="4">
        <f>'Raw Data'!D31</f>
        <v/>
      </c>
      <c r="F31" s="4">
        <f>'Raw Data'!F31</f>
        <v/>
      </c>
      <c r="G31" s="4">
        <f>'Raw Data'!G31</f>
        <v/>
      </c>
      <c r="H31" s="4">
        <f>'Raw Data'!J31</f>
        <v/>
      </c>
      <c r="I31" s="5">
        <f>scale*MIN(E31,kd_cap)*(F31/'Raw Data'!$B$70)*(1+MIN(LN(H31+1)/LN(flag_log_base)+IF(D31&gt;=threshold,(H31/'Raw Data'!$B$72-1)*flag_w_regular,(H31/'Raw Data'!$B$73-1)*flag_w_nonregular),flag_cap))*(1-MIN((G31/'Raw Data'!$B$71-1)*death_w,death_cap))</f>
        <v/>
      </c>
      <c r="J31" s="6">
        <f>'Raw Data'!L31</f>
        <v/>
      </c>
      <c r="K31" s="7">
        <f>I31-J31</f>
        <v/>
      </c>
    </row>
    <row r="32">
      <c r="A32" s="4">
        <f>RANK(I32,$I$5:$I$65)</f>
        <v/>
      </c>
      <c r="B32" s="4">
        <f>'Raw Data'!A32</f>
        <v/>
      </c>
      <c r="C32" s="4">
        <f>'Raw Data'!B32</f>
        <v/>
      </c>
      <c r="D32" s="4">
        <f>'Raw Data'!C32</f>
        <v/>
      </c>
      <c r="E32" s="4">
        <f>'Raw Data'!D32</f>
        <v/>
      </c>
      <c r="F32" s="4">
        <f>'Raw Data'!F32</f>
        <v/>
      </c>
      <c r="G32" s="4">
        <f>'Raw Data'!G32</f>
        <v/>
      </c>
      <c r="H32" s="4">
        <f>'Raw Data'!J32</f>
        <v/>
      </c>
      <c r="I32" s="5">
        <f>scale*MIN(E32,kd_cap)*(F32/'Raw Data'!$B$70)*(1+MIN(LN(H32+1)/LN(flag_log_base)+IF(D32&gt;=threshold,(H32/'Raw Data'!$B$72-1)*flag_w_regular,(H32/'Raw Data'!$B$73-1)*flag_w_nonregular),flag_cap))*(1-MIN((G32/'Raw Data'!$B$71-1)*death_w,death_cap))</f>
        <v/>
      </c>
      <c r="J32" s="6">
        <f>'Raw Data'!L32</f>
        <v/>
      </c>
      <c r="K32" s="7">
        <f>I32-J32</f>
        <v/>
      </c>
    </row>
    <row r="33">
      <c r="A33" s="4">
        <f>RANK(I33,$I$5:$I$65)</f>
        <v/>
      </c>
      <c r="B33" s="4">
        <f>'Raw Data'!A33</f>
        <v/>
      </c>
      <c r="C33" s="4">
        <f>'Raw Data'!B33</f>
        <v/>
      </c>
      <c r="D33" s="4">
        <f>'Raw Data'!C33</f>
        <v/>
      </c>
      <c r="E33" s="4">
        <f>'Raw Data'!D33</f>
        <v/>
      </c>
      <c r="F33" s="4">
        <f>'Raw Data'!F33</f>
        <v/>
      </c>
      <c r="G33" s="4">
        <f>'Raw Data'!G33</f>
        <v/>
      </c>
      <c r="H33" s="4">
        <f>'Raw Data'!J33</f>
        <v/>
      </c>
      <c r="I33" s="5">
        <f>scale*MIN(E33,kd_cap)*(F33/'Raw Data'!$B$70)*(1+MIN(LN(H33+1)/LN(flag_log_base)+IF(D33&gt;=threshold,(H33/'Raw Data'!$B$72-1)*flag_w_regular,(H33/'Raw Data'!$B$73-1)*flag_w_nonregular),flag_cap))*(1-MIN((G33/'Raw Data'!$B$71-1)*death_w,death_cap))</f>
        <v/>
      </c>
      <c r="J33" s="6">
        <f>'Raw Data'!L33</f>
        <v/>
      </c>
      <c r="K33" s="7">
        <f>I33-J33</f>
        <v/>
      </c>
    </row>
    <row r="34">
      <c r="A34" s="4">
        <f>RANK(I34,$I$5:$I$65)</f>
        <v/>
      </c>
      <c r="B34" s="4">
        <f>'Raw Data'!A34</f>
        <v/>
      </c>
      <c r="C34" s="4">
        <f>'Raw Data'!B34</f>
        <v/>
      </c>
      <c r="D34" s="4">
        <f>'Raw Data'!C34</f>
        <v/>
      </c>
      <c r="E34" s="4">
        <f>'Raw Data'!D34</f>
        <v/>
      </c>
      <c r="F34" s="4">
        <f>'Raw Data'!F34</f>
        <v/>
      </c>
      <c r="G34" s="4">
        <f>'Raw Data'!G34</f>
        <v/>
      </c>
      <c r="H34" s="4">
        <f>'Raw Data'!J34</f>
        <v/>
      </c>
      <c r="I34" s="5">
        <f>scale*MIN(E34,kd_cap)*(F34/'Raw Data'!$B$70)*(1+MIN(LN(H34+1)/LN(flag_log_base)+IF(D34&gt;=threshold,(H34/'Raw Data'!$B$72-1)*flag_w_regular,(H34/'Raw Data'!$B$73-1)*flag_w_nonregular),flag_cap))*(1-MIN((G34/'Raw Data'!$B$71-1)*death_w,death_cap))</f>
        <v/>
      </c>
      <c r="J34" s="6">
        <f>'Raw Data'!L34</f>
        <v/>
      </c>
      <c r="K34" s="7">
        <f>I34-J34</f>
        <v/>
      </c>
    </row>
    <row r="35">
      <c r="A35" s="4">
        <f>RANK(I35,$I$5:$I$65)</f>
        <v/>
      </c>
      <c r="B35" s="4">
        <f>'Raw Data'!A35</f>
        <v/>
      </c>
      <c r="C35" s="4">
        <f>'Raw Data'!B35</f>
        <v/>
      </c>
      <c r="D35" s="4">
        <f>'Raw Data'!C35</f>
        <v/>
      </c>
      <c r="E35" s="4">
        <f>'Raw Data'!D35</f>
        <v/>
      </c>
      <c r="F35" s="4">
        <f>'Raw Data'!F35</f>
        <v/>
      </c>
      <c r="G35" s="4">
        <f>'Raw Data'!G35</f>
        <v/>
      </c>
      <c r="H35" s="4">
        <f>'Raw Data'!J35</f>
        <v/>
      </c>
      <c r="I35" s="5">
        <f>scale*MIN(E35,kd_cap)*(F35/'Raw Data'!$B$70)*(1+MIN(LN(H35+1)/LN(flag_log_base)+IF(D35&gt;=threshold,(H35/'Raw Data'!$B$72-1)*flag_w_regular,(H35/'Raw Data'!$B$73-1)*flag_w_nonregular),flag_cap))*(1-MIN((G35/'Raw Data'!$B$71-1)*death_w,death_cap))</f>
        <v/>
      </c>
      <c r="J35" s="6">
        <f>'Raw Data'!L35</f>
        <v/>
      </c>
      <c r="K35" s="7">
        <f>I35-J35</f>
        <v/>
      </c>
    </row>
    <row r="36">
      <c r="A36" s="4">
        <f>RANK(I36,$I$5:$I$65)</f>
        <v/>
      </c>
      <c r="B36" s="4">
        <f>'Raw Data'!A36</f>
        <v/>
      </c>
      <c r="C36" s="4">
        <f>'Raw Data'!B36</f>
        <v/>
      </c>
      <c r="D36" s="4">
        <f>'Raw Data'!C36</f>
        <v/>
      </c>
      <c r="E36" s="4">
        <f>'Raw Data'!D36</f>
        <v/>
      </c>
      <c r="F36" s="4">
        <f>'Raw Data'!F36</f>
        <v/>
      </c>
      <c r="G36" s="4">
        <f>'Raw Data'!G36</f>
        <v/>
      </c>
      <c r="H36" s="4">
        <f>'Raw Data'!J36</f>
        <v/>
      </c>
      <c r="I36" s="5">
        <f>scale*MIN(E36,kd_cap)*(F36/'Raw Data'!$B$70)*(1+MIN(LN(H36+1)/LN(flag_log_base)+IF(D36&gt;=threshold,(H36/'Raw Data'!$B$72-1)*flag_w_regular,(H36/'Raw Data'!$B$73-1)*flag_w_nonregular),flag_cap))*(1-MIN((G36/'Raw Data'!$B$71-1)*death_w,death_cap))</f>
        <v/>
      </c>
      <c r="J36" s="6">
        <f>'Raw Data'!L36</f>
        <v/>
      </c>
      <c r="K36" s="7">
        <f>I36-J36</f>
        <v/>
      </c>
    </row>
    <row r="37">
      <c r="A37" s="4">
        <f>RANK(I37,$I$5:$I$65)</f>
        <v/>
      </c>
      <c r="B37" s="4">
        <f>'Raw Data'!A37</f>
        <v/>
      </c>
      <c r="C37" s="4">
        <f>'Raw Data'!B37</f>
        <v/>
      </c>
      <c r="D37" s="4">
        <f>'Raw Data'!C37</f>
        <v/>
      </c>
      <c r="E37" s="4">
        <f>'Raw Data'!D37</f>
        <v/>
      </c>
      <c r="F37" s="4">
        <f>'Raw Data'!F37</f>
        <v/>
      </c>
      <c r="G37" s="4">
        <f>'Raw Data'!G37</f>
        <v/>
      </c>
      <c r="H37" s="4">
        <f>'Raw Data'!J37</f>
        <v/>
      </c>
      <c r="I37" s="5">
        <f>scale*MIN(E37,kd_cap)*(F37/'Raw Data'!$B$70)*(1+MIN(LN(H37+1)/LN(flag_log_base)+IF(D37&gt;=threshold,(H37/'Raw Data'!$B$72-1)*flag_w_regular,(H37/'Raw Data'!$B$73-1)*flag_w_nonregular),flag_cap))*(1-MIN((G37/'Raw Data'!$B$71-1)*death_w,death_cap))</f>
        <v/>
      </c>
      <c r="J37" s="6">
        <f>'Raw Data'!L37</f>
        <v/>
      </c>
      <c r="K37" s="7">
        <f>I37-J37</f>
        <v/>
      </c>
    </row>
    <row r="38">
      <c r="A38" s="4">
        <f>RANK(I38,$I$5:$I$65)</f>
        <v/>
      </c>
      <c r="B38" s="4">
        <f>'Raw Data'!A38</f>
        <v/>
      </c>
      <c r="C38" s="4">
        <f>'Raw Data'!B38</f>
        <v/>
      </c>
      <c r="D38" s="4">
        <f>'Raw Data'!C38</f>
        <v/>
      </c>
      <c r="E38" s="4">
        <f>'Raw Data'!D38</f>
        <v/>
      </c>
      <c r="F38" s="4">
        <f>'Raw Data'!F38</f>
        <v/>
      </c>
      <c r="G38" s="4">
        <f>'Raw Data'!G38</f>
        <v/>
      </c>
      <c r="H38" s="4">
        <f>'Raw Data'!J38</f>
        <v/>
      </c>
      <c r="I38" s="5">
        <f>scale*MIN(E38,kd_cap)*(F38/'Raw Data'!$B$70)*(1+MIN(LN(H38+1)/LN(flag_log_base)+IF(D38&gt;=threshold,(H38/'Raw Data'!$B$72-1)*flag_w_regular,(H38/'Raw Data'!$B$73-1)*flag_w_nonregular),flag_cap))*(1-MIN((G38/'Raw Data'!$B$71-1)*death_w,death_cap))</f>
        <v/>
      </c>
      <c r="J38" s="6">
        <f>'Raw Data'!L38</f>
        <v/>
      </c>
      <c r="K38" s="7">
        <f>I38-J38</f>
        <v/>
      </c>
    </row>
    <row r="39">
      <c r="A39" s="4">
        <f>RANK(I39,$I$5:$I$65)</f>
        <v/>
      </c>
      <c r="B39" s="4">
        <f>'Raw Data'!A39</f>
        <v/>
      </c>
      <c r="C39" s="4">
        <f>'Raw Data'!B39</f>
        <v/>
      </c>
      <c r="D39" s="4">
        <f>'Raw Data'!C39</f>
        <v/>
      </c>
      <c r="E39" s="4">
        <f>'Raw Data'!D39</f>
        <v/>
      </c>
      <c r="F39" s="4">
        <f>'Raw Data'!F39</f>
        <v/>
      </c>
      <c r="G39" s="4">
        <f>'Raw Data'!G39</f>
        <v/>
      </c>
      <c r="H39" s="4">
        <f>'Raw Data'!J39</f>
        <v/>
      </c>
      <c r="I39" s="5">
        <f>scale*MIN(E39,kd_cap)*(F39/'Raw Data'!$B$70)*(1+MIN(LN(H39+1)/LN(flag_log_base)+IF(D39&gt;=threshold,(H39/'Raw Data'!$B$72-1)*flag_w_regular,(H39/'Raw Data'!$B$73-1)*flag_w_nonregular),flag_cap))*(1-MIN((G39/'Raw Data'!$B$71-1)*death_w,death_cap))</f>
        <v/>
      </c>
      <c r="J39" s="6">
        <f>'Raw Data'!L39</f>
        <v/>
      </c>
      <c r="K39" s="7">
        <f>I39-J39</f>
        <v/>
      </c>
    </row>
    <row r="40">
      <c r="A40" s="4">
        <f>RANK(I40,$I$5:$I$65)</f>
        <v/>
      </c>
      <c r="B40" s="4">
        <f>'Raw Data'!A40</f>
        <v/>
      </c>
      <c r="C40" s="4">
        <f>'Raw Data'!B40</f>
        <v/>
      </c>
      <c r="D40" s="4">
        <f>'Raw Data'!C40</f>
        <v/>
      </c>
      <c r="E40" s="4">
        <f>'Raw Data'!D40</f>
        <v/>
      </c>
      <c r="F40" s="4">
        <f>'Raw Data'!F40</f>
        <v/>
      </c>
      <c r="G40" s="4">
        <f>'Raw Data'!G40</f>
        <v/>
      </c>
      <c r="H40" s="4">
        <f>'Raw Data'!J40</f>
        <v/>
      </c>
      <c r="I40" s="5">
        <f>scale*MIN(E40,kd_cap)*(F40/'Raw Data'!$B$70)*(1+MIN(LN(H40+1)/LN(flag_log_base)+IF(D40&gt;=threshold,(H40/'Raw Data'!$B$72-1)*flag_w_regular,(H40/'Raw Data'!$B$73-1)*flag_w_nonregular),flag_cap))*(1-MIN((G40/'Raw Data'!$B$71-1)*death_w,death_cap))</f>
        <v/>
      </c>
      <c r="J40" s="6">
        <f>'Raw Data'!L40</f>
        <v/>
      </c>
      <c r="K40" s="7">
        <f>I40-J40</f>
        <v/>
      </c>
    </row>
    <row r="41">
      <c r="A41" s="4">
        <f>RANK(I41,$I$5:$I$65)</f>
        <v/>
      </c>
      <c r="B41" s="4">
        <f>'Raw Data'!A41</f>
        <v/>
      </c>
      <c r="C41" s="4">
        <f>'Raw Data'!B41</f>
        <v/>
      </c>
      <c r="D41" s="4">
        <f>'Raw Data'!C41</f>
        <v/>
      </c>
      <c r="E41" s="4">
        <f>'Raw Data'!D41</f>
        <v/>
      </c>
      <c r="F41" s="4">
        <f>'Raw Data'!F41</f>
        <v/>
      </c>
      <c r="G41" s="4">
        <f>'Raw Data'!G41</f>
        <v/>
      </c>
      <c r="H41" s="4">
        <f>'Raw Data'!J41</f>
        <v/>
      </c>
      <c r="I41" s="5">
        <f>scale*MIN(E41,kd_cap)*(F41/'Raw Data'!$B$70)*(1+MIN(LN(H41+1)/LN(flag_log_base)+IF(D41&gt;=threshold,(H41/'Raw Data'!$B$72-1)*flag_w_regular,(H41/'Raw Data'!$B$73-1)*flag_w_nonregular),flag_cap))*(1-MIN((G41/'Raw Data'!$B$71-1)*death_w,death_cap))</f>
        <v/>
      </c>
      <c r="J41" s="6">
        <f>'Raw Data'!L41</f>
        <v/>
      </c>
      <c r="K41" s="7">
        <f>I41-J41</f>
        <v/>
      </c>
    </row>
    <row r="42">
      <c r="A42" s="4">
        <f>RANK(I42,$I$5:$I$65)</f>
        <v/>
      </c>
      <c r="B42" s="4">
        <f>'Raw Data'!A42</f>
        <v/>
      </c>
      <c r="C42" s="4">
        <f>'Raw Data'!B42</f>
        <v/>
      </c>
      <c r="D42" s="4">
        <f>'Raw Data'!C42</f>
        <v/>
      </c>
      <c r="E42" s="4">
        <f>'Raw Data'!D42</f>
        <v/>
      </c>
      <c r="F42" s="4">
        <f>'Raw Data'!F42</f>
        <v/>
      </c>
      <c r="G42" s="4">
        <f>'Raw Data'!G42</f>
        <v/>
      </c>
      <c r="H42" s="4">
        <f>'Raw Data'!J42</f>
        <v/>
      </c>
      <c r="I42" s="5">
        <f>scale*MIN(E42,kd_cap)*(F42/'Raw Data'!$B$70)*(1+MIN(LN(H42+1)/LN(flag_log_base)+IF(D42&gt;=threshold,(H42/'Raw Data'!$B$72-1)*flag_w_regular,(H42/'Raw Data'!$B$73-1)*flag_w_nonregular),flag_cap))*(1-MIN((G42/'Raw Data'!$B$71-1)*death_w,death_cap))</f>
        <v/>
      </c>
      <c r="J42" s="6">
        <f>'Raw Data'!L42</f>
        <v/>
      </c>
      <c r="K42" s="7">
        <f>I42-J42</f>
        <v/>
      </c>
    </row>
    <row r="43">
      <c r="A43" s="4">
        <f>RANK(I43,$I$5:$I$65)</f>
        <v/>
      </c>
      <c r="B43" s="4">
        <f>'Raw Data'!A43</f>
        <v/>
      </c>
      <c r="C43" s="4">
        <f>'Raw Data'!B43</f>
        <v/>
      </c>
      <c r="D43" s="4">
        <f>'Raw Data'!C43</f>
        <v/>
      </c>
      <c r="E43" s="4">
        <f>'Raw Data'!D43</f>
        <v/>
      </c>
      <c r="F43" s="4">
        <f>'Raw Data'!F43</f>
        <v/>
      </c>
      <c r="G43" s="4">
        <f>'Raw Data'!G43</f>
        <v/>
      </c>
      <c r="H43" s="4">
        <f>'Raw Data'!J43</f>
        <v/>
      </c>
      <c r="I43" s="5">
        <f>scale*MIN(E43,kd_cap)*(F43/'Raw Data'!$B$70)*(1+MIN(LN(H43+1)/LN(flag_log_base)+IF(D43&gt;=threshold,(H43/'Raw Data'!$B$72-1)*flag_w_regular,(H43/'Raw Data'!$B$73-1)*flag_w_nonregular),flag_cap))*(1-MIN((G43/'Raw Data'!$B$71-1)*death_w,death_cap))</f>
        <v/>
      </c>
      <c r="J43" s="6">
        <f>'Raw Data'!L43</f>
        <v/>
      </c>
      <c r="K43" s="7">
        <f>I43-J43</f>
        <v/>
      </c>
    </row>
    <row r="44">
      <c r="A44" s="4">
        <f>RANK(I44,$I$5:$I$65)</f>
        <v/>
      </c>
      <c r="B44" s="4">
        <f>'Raw Data'!A44</f>
        <v/>
      </c>
      <c r="C44" s="4">
        <f>'Raw Data'!B44</f>
        <v/>
      </c>
      <c r="D44" s="4">
        <f>'Raw Data'!C44</f>
        <v/>
      </c>
      <c r="E44" s="4">
        <f>'Raw Data'!D44</f>
        <v/>
      </c>
      <c r="F44" s="4">
        <f>'Raw Data'!F44</f>
        <v/>
      </c>
      <c r="G44" s="4">
        <f>'Raw Data'!G44</f>
        <v/>
      </c>
      <c r="H44" s="4">
        <f>'Raw Data'!J44</f>
        <v/>
      </c>
      <c r="I44" s="5">
        <f>scale*MIN(E44,kd_cap)*(F44/'Raw Data'!$B$70)*(1+MIN(LN(H44+1)/LN(flag_log_base)+IF(D44&gt;=threshold,(H44/'Raw Data'!$B$72-1)*flag_w_regular,(H44/'Raw Data'!$B$73-1)*flag_w_nonregular),flag_cap))*(1-MIN((G44/'Raw Data'!$B$71-1)*death_w,death_cap))</f>
        <v/>
      </c>
      <c r="J44" s="6">
        <f>'Raw Data'!L44</f>
        <v/>
      </c>
      <c r="K44" s="7">
        <f>I44-J44</f>
        <v/>
      </c>
    </row>
    <row r="45">
      <c r="A45" s="4">
        <f>RANK(I45,$I$5:$I$65)</f>
        <v/>
      </c>
      <c r="B45" s="4">
        <f>'Raw Data'!A45</f>
        <v/>
      </c>
      <c r="C45" s="4">
        <f>'Raw Data'!B45</f>
        <v/>
      </c>
      <c r="D45" s="4">
        <f>'Raw Data'!C45</f>
        <v/>
      </c>
      <c r="E45" s="4">
        <f>'Raw Data'!D45</f>
        <v/>
      </c>
      <c r="F45" s="4">
        <f>'Raw Data'!F45</f>
        <v/>
      </c>
      <c r="G45" s="4">
        <f>'Raw Data'!G45</f>
        <v/>
      </c>
      <c r="H45" s="4">
        <f>'Raw Data'!J45</f>
        <v/>
      </c>
      <c r="I45" s="5">
        <f>scale*MIN(E45,kd_cap)*(F45/'Raw Data'!$B$70)*(1+MIN(LN(H45+1)/LN(flag_log_base)+IF(D45&gt;=threshold,(H45/'Raw Data'!$B$72-1)*flag_w_regular,(H45/'Raw Data'!$B$73-1)*flag_w_nonregular),flag_cap))*(1-MIN((G45/'Raw Data'!$B$71-1)*death_w,death_cap))</f>
        <v/>
      </c>
      <c r="J45" s="6">
        <f>'Raw Data'!L45</f>
        <v/>
      </c>
      <c r="K45" s="7">
        <f>I45-J45</f>
        <v/>
      </c>
    </row>
    <row r="46">
      <c r="A46" s="4">
        <f>RANK(I46,$I$5:$I$65)</f>
        <v/>
      </c>
      <c r="B46" s="4">
        <f>'Raw Data'!A46</f>
        <v/>
      </c>
      <c r="C46" s="4">
        <f>'Raw Data'!B46</f>
        <v/>
      </c>
      <c r="D46" s="4">
        <f>'Raw Data'!C46</f>
        <v/>
      </c>
      <c r="E46" s="4">
        <f>'Raw Data'!D46</f>
        <v/>
      </c>
      <c r="F46" s="4">
        <f>'Raw Data'!F46</f>
        <v/>
      </c>
      <c r="G46" s="4">
        <f>'Raw Data'!G46</f>
        <v/>
      </c>
      <c r="H46" s="4">
        <f>'Raw Data'!J46</f>
        <v/>
      </c>
      <c r="I46" s="5">
        <f>scale*MIN(E46,kd_cap)*(F46/'Raw Data'!$B$70)*(1+MIN(LN(H46+1)/LN(flag_log_base)+IF(D46&gt;=threshold,(H46/'Raw Data'!$B$72-1)*flag_w_regular,(H46/'Raw Data'!$B$73-1)*flag_w_nonregular),flag_cap))*(1-MIN((G46/'Raw Data'!$B$71-1)*death_w,death_cap))</f>
        <v/>
      </c>
      <c r="J46" s="6">
        <f>'Raw Data'!L46</f>
        <v/>
      </c>
      <c r="K46" s="7">
        <f>I46-J46</f>
        <v/>
      </c>
    </row>
    <row r="47">
      <c r="A47" s="4">
        <f>RANK(I47,$I$5:$I$65)</f>
        <v/>
      </c>
      <c r="B47" s="4">
        <f>'Raw Data'!A47</f>
        <v/>
      </c>
      <c r="C47" s="4">
        <f>'Raw Data'!B47</f>
        <v/>
      </c>
      <c r="D47" s="4">
        <f>'Raw Data'!C47</f>
        <v/>
      </c>
      <c r="E47" s="4">
        <f>'Raw Data'!D47</f>
        <v/>
      </c>
      <c r="F47" s="4">
        <f>'Raw Data'!F47</f>
        <v/>
      </c>
      <c r="G47" s="4">
        <f>'Raw Data'!G47</f>
        <v/>
      </c>
      <c r="H47" s="4">
        <f>'Raw Data'!J47</f>
        <v/>
      </c>
      <c r="I47" s="5">
        <f>scale*MIN(E47,kd_cap)*(F47/'Raw Data'!$B$70)*(1+MIN(LN(H47+1)/LN(flag_log_base)+IF(D47&gt;=threshold,(H47/'Raw Data'!$B$72-1)*flag_w_regular,(H47/'Raw Data'!$B$73-1)*flag_w_nonregular),flag_cap))*(1-MIN((G47/'Raw Data'!$B$71-1)*death_w,death_cap))</f>
        <v/>
      </c>
      <c r="J47" s="6">
        <f>'Raw Data'!L47</f>
        <v/>
      </c>
      <c r="K47" s="7">
        <f>I47-J47</f>
        <v/>
      </c>
    </row>
    <row r="48">
      <c r="A48" s="4">
        <f>RANK(I48,$I$5:$I$65)</f>
        <v/>
      </c>
      <c r="B48" s="4">
        <f>'Raw Data'!A48</f>
        <v/>
      </c>
      <c r="C48" s="4">
        <f>'Raw Data'!B48</f>
        <v/>
      </c>
      <c r="D48" s="4">
        <f>'Raw Data'!C48</f>
        <v/>
      </c>
      <c r="E48" s="4">
        <f>'Raw Data'!D48</f>
        <v/>
      </c>
      <c r="F48" s="4">
        <f>'Raw Data'!F48</f>
        <v/>
      </c>
      <c r="G48" s="4">
        <f>'Raw Data'!G48</f>
        <v/>
      </c>
      <c r="H48" s="4">
        <f>'Raw Data'!J48</f>
        <v/>
      </c>
      <c r="I48" s="5">
        <f>scale*MIN(E48,kd_cap)*(F48/'Raw Data'!$B$70)*(1+MIN(LN(H48+1)/LN(flag_log_base)+IF(D48&gt;=threshold,(H48/'Raw Data'!$B$72-1)*flag_w_regular,(H48/'Raw Data'!$B$73-1)*flag_w_nonregular),flag_cap))*(1-MIN((G48/'Raw Data'!$B$71-1)*death_w,death_cap))</f>
        <v/>
      </c>
      <c r="J48" s="6">
        <f>'Raw Data'!L48</f>
        <v/>
      </c>
      <c r="K48" s="7">
        <f>I48-J48</f>
        <v/>
      </c>
    </row>
    <row r="49">
      <c r="A49" s="4">
        <f>RANK(I49,$I$5:$I$65)</f>
        <v/>
      </c>
      <c r="B49" s="4">
        <f>'Raw Data'!A49</f>
        <v/>
      </c>
      <c r="C49" s="4">
        <f>'Raw Data'!B49</f>
        <v/>
      </c>
      <c r="D49" s="4">
        <f>'Raw Data'!C49</f>
        <v/>
      </c>
      <c r="E49" s="4">
        <f>'Raw Data'!D49</f>
        <v/>
      </c>
      <c r="F49" s="4">
        <f>'Raw Data'!F49</f>
        <v/>
      </c>
      <c r="G49" s="4">
        <f>'Raw Data'!G49</f>
        <v/>
      </c>
      <c r="H49" s="4">
        <f>'Raw Data'!J49</f>
        <v/>
      </c>
      <c r="I49" s="5">
        <f>scale*MIN(E49,kd_cap)*(F49/'Raw Data'!$B$70)*(1+MIN(LN(H49+1)/LN(flag_log_base)+IF(D49&gt;=threshold,(H49/'Raw Data'!$B$72-1)*flag_w_regular,(H49/'Raw Data'!$B$73-1)*flag_w_nonregular),flag_cap))*(1-MIN((G49/'Raw Data'!$B$71-1)*death_w,death_cap))</f>
        <v/>
      </c>
      <c r="J49" s="6">
        <f>'Raw Data'!L49</f>
        <v/>
      </c>
      <c r="K49" s="7">
        <f>I49-J49</f>
        <v/>
      </c>
    </row>
    <row r="50">
      <c r="A50" s="4">
        <f>RANK(I50,$I$5:$I$65)</f>
        <v/>
      </c>
      <c r="B50" s="4">
        <f>'Raw Data'!A50</f>
        <v/>
      </c>
      <c r="C50" s="4">
        <f>'Raw Data'!B50</f>
        <v/>
      </c>
      <c r="D50" s="4">
        <f>'Raw Data'!C50</f>
        <v/>
      </c>
      <c r="E50" s="4">
        <f>'Raw Data'!D50</f>
        <v/>
      </c>
      <c r="F50" s="4">
        <f>'Raw Data'!F50</f>
        <v/>
      </c>
      <c r="G50" s="4">
        <f>'Raw Data'!G50</f>
        <v/>
      </c>
      <c r="H50" s="4">
        <f>'Raw Data'!J50</f>
        <v/>
      </c>
      <c r="I50" s="5">
        <f>scale*MIN(E50,kd_cap)*(F50/'Raw Data'!$B$70)*(1+MIN(LN(H50+1)/LN(flag_log_base)+IF(D50&gt;=threshold,(H50/'Raw Data'!$B$72-1)*flag_w_regular,(H50/'Raw Data'!$B$73-1)*flag_w_nonregular),flag_cap))*(1-MIN((G50/'Raw Data'!$B$71-1)*death_w,death_cap))</f>
        <v/>
      </c>
      <c r="J50" s="6">
        <f>'Raw Data'!L50</f>
        <v/>
      </c>
      <c r="K50" s="7">
        <f>I50-J50</f>
        <v/>
      </c>
    </row>
    <row r="51">
      <c r="A51" s="4">
        <f>RANK(I51,$I$5:$I$65)</f>
        <v/>
      </c>
      <c r="B51" s="4">
        <f>'Raw Data'!A51</f>
        <v/>
      </c>
      <c r="C51" s="4">
        <f>'Raw Data'!B51</f>
        <v/>
      </c>
      <c r="D51" s="4">
        <f>'Raw Data'!C51</f>
        <v/>
      </c>
      <c r="E51" s="4">
        <f>'Raw Data'!D51</f>
        <v/>
      </c>
      <c r="F51" s="4">
        <f>'Raw Data'!F51</f>
        <v/>
      </c>
      <c r="G51" s="4">
        <f>'Raw Data'!G51</f>
        <v/>
      </c>
      <c r="H51" s="4">
        <f>'Raw Data'!J51</f>
        <v/>
      </c>
      <c r="I51" s="5">
        <f>scale*MIN(E51,kd_cap)*(F51/'Raw Data'!$B$70)*(1+MIN(LN(H51+1)/LN(flag_log_base)+IF(D51&gt;=threshold,(H51/'Raw Data'!$B$72-1)*flag_w_regular,(H51/'Raw Data'!$B$73-1)*flag_w_nonregular),flag_cap))*(1-MIN((G51/'Raw Data'!$B$71-1)*death_w,death_cap))</f>
        <v/>
      </c>
      <c r="J51" s="6">
        <f>'Raw Data'!L51</f>
        <v/>
      </c>
      <c r="K51" s="7">
        <f>I51-J51</f>
        <v/>
      </c>
    </row>
    <row r="52">
      <c r="A52" s="4">
        <f>RANK(I52,$I$5:$I$65)</f>
        <v/>
      </c>
      <c r="B52" s="4">
        <f>'Raw Data'!A52</f>
        <v/>
      </c>
      <c r="C52" s="4">
        <f>'Raw Data'!B52</f>
        <v/>
      </c>
      <c r="D52" s="4">
        <f>'Raw Data'!C52</f>
        <v/>
      </c>
      <c r="E52" s="4">
        <f>'Raw Data'!D52</f>
        <v/>
      </c>
      <c r="F52" s="4">
        <f>'Raw Data'!F52</f>
        <v/>
      </c>
      <c r="G52" s="4">
        <f>'Raw Data'!G52</f>
        <v/>
      </c>
      <c r="H52" s="4">
        <f>'Raw Data'!J52</f>
        <v/>
      </c>
      <c r="I52" s="5">
        <f>scale*MIN(E52,kd_cap)*(F52/'Raw Data'!$B$70)*(1+MIN(LN(H52+1)/LN(flag_log_base)+IF(D52&gt;=threshold,(H52/'Raw Data'!$B$72-1)*flag_w_regular,(H52/'Raw Data'!$B$73-1)*flag_w_nonregular),flag_cap))*(1-MIN((G52/'Raw Data'!$B$71-1)*death_w,death_cap))</f>
        <v/>
      </c>
      <c r="J52" s="6">
        <f>'Raw Data'!L52</f>
        <v/>
      </c>
      <c r="K52" s="7">
        <f>I52-J52</f>
        <v/>
      </c>
    </row>
    <row r="53">
      <c r="A53" s="4">
        <f>RANK(I53,$I$5:$I$65)</f>
        <v/>
      </c>
      <c r="B53" s="4">
        <f>'Raw Data'!A53</f>
        <v/>
      </c>
      <c r="C53" s="4">
        <f>'Raw Data'!B53</f>
        <v/>
      </c>
      <c r="D53" s="4">
        <f>'Raw Data'!C53</f>
        <v/>
      </c>
      <c r="E53" s="4">
        <f>'Raw Data'!D53</f>
        <v/>
      </c>
      <c r="F53" s="4">
        <f>'Raw Data'!F53</f>
        <v/>
      </c>
      <c r="G53" s="4">
        <f>'Raw Data'!G53</f>
        <v/>
      </c>
      <c r="H53" s="4">
        <f>'Raw Data'!J53</f>
        <v/>
      </c>
      <c r="I53" s="5">
        <f>scale*MIN(E53,kd_cap)*(F53/'Raw Data'!$B$70)*(1+MIN(LN(H53+1)/LN(flag_log_base)+IF(D53&gt;=threshold,(H53/'Raw Data'!$B$72-1)*flag_w_regular,(H53/'Raw Data'!$B$73-1)*flag_w_nonregular),flag_cap))*(1-MIN((G53/'Raw Data'!$B$71-1)*death_w,death_cap))</f>
        <v/>
      </c>
      <c r="J53" s="6">
        <f>'Raw Data'!L53</f>
        <v/>
      </c>
      <c r="K53" s="7">
        <f>I53-J53</f>
        <v/>
      </c>
    </row>
    <row r="54">
      <c r="A54" s="4">
        <f>RANK(I54,$I$5:$I$65)</f>
        <v/>
      </c>
      <c r="B54" s="4">
        <f>'Raw Data'!A54</f>
        <v/>
      </c>
      <c r="C54" s="4">
        <f>'Raw Data'!B54</f>
        <v/>
      </c>
      <c r="D54" s="4">
        <f>'Raw Data'!C54</f>
        <v/>
      </c>
      <c r="E54" s="4">
        <f>'Raw Data'!D54</f>
        <v/>
      </c>
      <c r="F54" s="4">
        <f>'Raw Data'!F54</f>
        <v/>
      </c>
      <c r="G54" s="4">
        <f>'Raw Data'!G54</f>
        <v/>
      </c>
      <c r="H54" s="4">
        <f>'Raw Data'!J54</f>
        <v/>
      </c>
      <c r="I54" s="5">
        <f>scale*MIN(E54,kd_cap)*(F54/'Raw Data'!$B$70)*(1+MIN(LN(H54+1)/LN(flag_log_base)+IF(D54&gt;=threshold,(H54/'Raw Data'!$B$72-1)*flag_w_regular,(H54/'Raw Data'!$B$73-1)*flag_w_nonregular),flag_cap))*(1-MIN((G54/'Raw Data'!$B$71-1)*death_w,death_cap))</f>
        <v/>
      </c>
      <c r="J54" s="6">
        <f>'Raw Data'!L54</f>
        <v/>
      </c>
      <c r="K54" s="7">
        <f>I54-J54</f>
        <v/>
      </c>
    </row>
    <row r="55">
      <c r="A55" s="4">
        <f>RANK(I55,$I$5:$I$65)</f>
        <v/>
      </c>
      <c r="B55" s="4">
        <f>'Raw Data'!A55</f>
        <v/>
      </c>
      <c r="C55" s="4">
        <f>'Raw Data'!B55</f>
        <v/>
      </c>
      <c r="D55" s="4">
        <f>'Raw Data'!C55</f>
        <v/>
      </c>
      <c r="E55" s="4">
        <f>'Raw Data'!D55</f>
        <v/>
      </c>
      <c r="F55" s="4">
        <f>'Raw Data'!F55</f>
        <v/>
      </c>
      <c r="G55" s="4">
        <f>'Raw Data'!G55</f>
        <v/>
      </c>
      <c r="H55" s="4">
        <f>'Raw Data'!J55</f>
        <v/>
      </c>
      <c r="I55" s="5">
        <f>scale*MIN(E55,kd_cap)*(F55/'Raw Data'!$B$70)*(1+MIN(LN(H55+1)/LN(flag_log_base)+IF(D55&gt;=threshold,(H55/'Raw Data'!$B$72-1)*flag_w_regular,(H55/'Raw Data'!$B$73-1)*flag_w_nonregular),flag_cap))*(1-MIN((G55/'Raw Data'!$B$71-1)*death_w,death_cap))</f>
        <v/>
      </c>
      <c r="J55" s="6">
        <f>'Raw Data'!L55</f>
        <v/>
      </c>
      <c r="K55" s="7">
        <f>I55-J55</f>
        <v/>
      </c>
    </row>
    <row r="56">
      <c r="A56" s="4">
        <f>RANK(I56,$I$5:$I$65)</f>
        <v/>
      </c>
      <c r="B56" s="4">
        <f>'Raw Data'!A56</f>
        <v/>
      </c>
      <c r="C56" s="4">
        <f>'Raw Data'!B56</f>
        <v/>
      </c>
      <c r="D56" s="4">
        <f>'Raw Data'!C56</f>
        <v/>
      </c>
      <c r="E56" s="4">
        <f>'Raw Data'!D56</f>
        <v/>
      </c>
      <c r="F56" s="4">
        <f>'Raw Data'!F56</f>
        <v/>
      </c>
      <c r="G56" s="4">
        <f>'Raw Data'!G56</f>
        <v/>
      </c>
      <c r="H56" s="4">
        <f>'Raw Data'!J56</f>
        <v/>
      </c>
      <c r="I56" s="5">
        <f>scale*MIN(E56,kd_cap)*(F56/'Raw Data'!$B$70)*(1+MIN(LN(H56+1)/LN(flag_log_base)+IF(D56&gt;=threshold,(H56/'Raw Data'!$B$72-1)*flag_w_regular,(H56/'Raw Data'!$B$73-1)*flag_w_nonregular),flag_cap))*(1-MIN((G56/'Raw Data'!$B$71-1)*death_w,death_cap))</f>
        <v/>
      </c>
      <c r="J56" s="6">
        <f>'Raw Data'!L56</f>
        <v/>
      </c>
      <c r="K56" s="7">
        <f>I56-J56</f>
        <v/>
      </c>
    </row>
    <row r="57">
      <c r="A57" s="4">
        <f>RANK(I57,$I$5:$I$65)</f>
        <v/>
      </c>
      <c r="B57" s="4">
        <f>'Raw Data'!A57</f>
        <v/>
      </c>
      <c r="C57" s="4">
        <f>'Raw Data'!B57</f>
        <v/>
      </c>
      <c r="D57" s="4">
        <f>'Raw Data'!C57</f>
        <v/>
      </c>
      <c r="E57" s="4">
        <f>'Raw Data'!D57</f>
        <v/>
      </c>
      <c r="F57" s="4">
        <f>'Raw Data'!F57</f>
        <v/>
      </c>
      <c r="G57" s="4">
        <f>'Raw Data'!G57</f>
        <v/>
      </c>
      <c r="H57" s="4">
        <f>'Raw Data'!J57</f>
        <v/>
      </c>
      <c r="I57" s="5">
        <f>scale*MIN(E57,kd_cap)*(F57/'Raw Data'!$B$70)*(1+MIN(LN(H57+1)/LN(flag_log_base)+IF(D57&gt;=threshold,(H57/'Raw Data'!$B$72-1)*flag_w_regular,(H57/'Raw Data'!$B$73-1)*flag_w_nonregular),flag_cap))*(1-MIN((G57/'Raw Data'!$B$71-1)*death_w,death_cap))</f>
        <v/>
      </c>
      <c r="J57" s="6">
        <f>'Raw Data'!L57</f>
        <v/>
      </c>
      <c r="K57" s="7">
        <f>I57-J57</f>
        <v/>
      </c>
    </row>
    <row r="58">
      <c r="A58" s="4">
        <f>RANK(I58,$I$5:$I$65)</f>
        <v/>
      </c>
      <c r="B58" s="4">
        <f>'Raw Data'!A58</f>
        <v/>
      </c>
      <c r="C58" s="4">
        <f>'Raw Data'!B58</f>
        <v/>
      </c>
      <c r="D58" s="4">
        <f>'Raw Data'!C58</f>
        <v/>
      </c>
      <c r="E58" s="4">
        <f>'Raw Data'!D58</f>
        <v/>
      </c>
      <c r="F58" s="4">
        <f>'Raw Data'!F58</f>
        <v/>
      </c>
      <c r="G58" s="4">
        <f>'Raw Data'!G58</f>
        <v/>
      </c>
      <c r="H58" s="4">
        <f>'Raw Data'!J58</f>
        <v/>
      </c>
      <c r="I58" s="5">
        <f>scale*MIN(E58,kd_cap)*(F58/'Raw Data'!$B$70)*(1+MIN(LN(H58+1)/LN(flag_log_base)+IF(D58&gt;=threshold,(H58/'Raw Data'!$B$72-1)*flag_w_regular,(H58/'Raw Data'!$B$73-1)*flag_w_nonregular),flag_cap))*(1-MIN((G58/'Raw Data'!$B$71-1)*death_w,death_cap))</f>
        <v/>
      </c>
      <c r="J58" s="6">
        <f>'Raw Data'!L58</f>
        <v/>
      </c>
      <c r="K58" s="7">
        <f>I58-J58</f>
        <v/>
      </c>
    </row>
    <row r="59">
      <c r="A59" s="4">
        <f>RANK(I59,$I$5:$I$65)</f>
        <v/>
      </c>
      <c r="B59" s="4">
        <f>'Raw Data'!A59</f>
        <v/>
      </c>
      <c r="C59" s="4">
        <f>'Raw Data'!B59</f>
        <v/>
      </c>
      <c r="D59" s="4">
        <f>'Raw Data'!C59</f>
        <v/>
      </c>
      <c r="E59" s="4">
        <f>'Raw Data'!D59</f>
        <v/>
      </c>
      <c r="F59" s="4">
        <f>'Raw Data'!F59</f>
        <v/>
      </c>
      <c r="G59" s="4">
        <f>'Raw Data'!G59</f>
        <v/>
      </c>
      <c r="H59" s="4">
        <f>'Raw Data'!J59</f>
        <v/>
      </c>
      <c r="I59" s="5">
        <f>scale*MIN(E59,kd_cap)*(F59/'Raw Data'!$B$70)*(1+MIN(LN(H59+1)/LN(flag_log_base)+IF(D59&gt;=threshold,(H59/'Raw Data'!$B$72-1)*flag_w_regular,(H59/'Raw Data'!$B$73-1)*flag_w_nonregular),flag_cap))*(1-MIN((G59/'Raw Data'!$B$71-1)*death_w,death_cap))</f>
        <v/>
      </c>
      <c r="J59" s="6">
        <f>'Raw Data'!L59</f>
        <v/>
      </c>
      <c r="K59" s="7">
        <f>I59-J59</f>
        <v/>
      </c>
    </row>
    <row r="60">
      <c r="A60" s="4">
        <f>RANK(I60,$I$5:$I$65)</f>
        <v/>
      </c>
      <c r="B60" s="4">
        <f>'Raw Data'!A60</f>
        <v/>
      </c>
      <c r="C60" s="4">
        <f>'Raw Data'!B60</f>
        <v/>
      </c>
      <c r="D60" s="4">
        <f>'Raw Data'!C60</f>
        <v/>
      </c>
      <c r="E60" s="4">
        <f>'Raw Data'!D60</f>
        <v/>
      </c>
      <c r="F60" s="4">
        <f>'Raw Data'!F60</f>
        <v/>
      </c>
      <c r="G60" s="4">
        <f>'Raw Data'!G60</f>
        <v/>
      </c>
      <c r="H60" s="4">
        <f>'Raw Data'!J60</f>
        <v/>
      </c>
      <c r="I60" s="5">
        <f>scale*MIN(E60,kd_cap)*(F60/'Raw Data'!$B$70)*(1+MIN(LN(H60+1)/LN(flag_log_base)+IF(D60&gt;=threshold,(H60/'Raw Data'!$B$72-1)*flag_w_regular,(H60/'Raw Data'!$B$73-1)*flag_w_nonregular),flag_cap))*(1-MIN((G60/'Raw Data'!$B$71-1)*death_w,death_cap))</f>
        <v/>
      </c>
      <c r="J60" s="6">
        <f>'Raw Data'!L60</f>
        <v/>
      </c>
      <c r="K60" s="7">
        <f>I60-J60</f>
        <v/>
      </c>
    </row>
    <row r="61">
      <c r="A61" s="4">
        <f>RANK(I61,$I$5:$I$65)</f>
        <v/>
      </c>
      <c r="B61" s="4">
        <f>'Raw Data'!A61</f>
        <v/>
      </c>
      <c r="C61" s="4">
        <f>'Raw Data'!B61</f>
        <v/>
      </c>
      <c r="D61" s="4">
        <f>'Raw Data'!C61</f>
        <v/>
      </c>
      <c r="E61" s="4">
        <f>'Raw Data'!D61</f>
        <v/>
      </c>
      <c r="F61" s="4">
        <f>'Raw Data'!F61</f>
        <v/>
      </c>
      <c r="G61" s="4">
        <f>'Raw Data'!G61</f>
        <v/>
      </c>
      <c r="H61" s="4">
        <f>'Raw Data'!J61</f>
        <v/>
      </c>
      <c r="I61" s="5">
        <f>scale*MIN(E61,kd_cap)*(F61/'Raw Data'!$B$70)*(1+MIN(LN(H61+1)/LN(flag_log_base)+IF(D61&gt;=threshold,(H61/'Raw Data'!$B$72-1)*flag_w_regular,(H61/'Raw Data'!$B$73-1)*flag_w_nonregular),flag_cap))*(1-MIN((G61/'Raw Data'!$B$71-1)*death_w,death_cap))</f>
        <v/>
      </c>
      <c r="J61" s="6">
        <f>'Raw Data'!L61</f>
        <v/>
      </c>
      <c r="K61" s="7">
        <f>I61-J61</f>
        <v/>
      </c>
    </row>
    <row r="62">
      <c r="A62" s="4">
        <f>RANK(I62,$I$5:$I$65)</f>
        <v/>
      </c>
      <c r="B62" s="4">
        <f>'Raw Data'!A62</f>
        <v/>
      </c>
      <c r="C62" s="4">
        <f>'Raw Data'!B62</f>
        <v/>
      </c>
      <c r="D62" s="4">
        <f>'Raw Data'!C62</f>
        <v/>
      </c>
      <c r="E62" s="4">
        <f>'Raw Data'!D62</f>
        <v/>
      </c>
      <c r="F62" s="4">
        <f>'Raw Data'!F62</f>
        <v/>
      </c>
      <c r="G62" s="4">
        <f>'Raw Data'!G62</f>
        <v/>
      </c>
      <c r="H62" s="4">
        <f>'Raw Data'!J62</f>
        <v/>
      </c>
      <c r="I62" s="5">
        <f>scale*MIN(E62,kd_cap)*(F62/'Raw Data'!$B$70)*(1+MIN(LN(H62+1)/LN(flag_log_base)+IF(D62&gt;=threshold,(H62/'Raw Data'!$B$72-1)*flag_w_regular,(H62/'Raw Data'!$B$73-1)*flag_w_nonregular),flag_cap))*(1-MIN((G62/'Raw Data'!$B$71-1)*death_w,death_cap))</f>
        <v/>
      </c>
      <c r="J62" s="6">
        <f>'Raw Data'!L62</f>
        <v/>
      </c>
      <c r="K62" s="7">
        <f>I62-J62</f>
        <v/>
      </c>
    </row>
    <row r="63">
      <c r="A63" s="4">
        <f>RANK(I63,$I$5:$I$65)</f>
        <v/>
      </c>
      <c r="B63" s="4">
        <f>'Raw Data'!A63</f>
        <v/>
      </c>
      <c r="C63" s="4">
        <f>'Raw Data'!B63</f>
        <v/>
      </c>
      <c r="D63" s="4">
        <f>'Raw Data'!C63</f>
        <v/>
      </c>
      <c r="E63" s="4">
        <f>'Raw Data'!D63</f>
        <v/>
      </c>
      <c r="F63" s="4">
        <f>'Raw Data'!F63</f>
        <v/>
      </c>
      <c r="G63" s="4">
        <f>'Raw Data'!G63</f>
        <v/>
      </c>
      <c r="H63" s="4">
        <f>'Raw Data'!J63</f>
        <v/>
      </c>
      <c r="I63" s="5">
        <f>scale*MIN(E63,kd_cap)*(F63/'Raw Data'!$B$70)*(1+MIN(LN(H63+1)/LN(flag_log_base)+IF(D63&gt;=threshold,(H63/'Raw Data'!$B$72-1)*flag_w_regular,(H63/'Raw Data'!$B$73-1)*flag_w_nonregular),flag_cap))*(1-MIN((G63/'Raw Data'!$B$71-1)*death_w,death_cap))</f>
        <v/>
      </c>
      <c r="J63" s="6">
        <f>'Raw Data'!L63</f>
        <v/>
      </c>
      <c r="K63" s="7">
        <f>I63-J63</f>
        <v/>
      </c>
    </row>
    <row r="64">
      <c r="A64" s="4">
        <f>RANK(I64,$I$5:$I$65)</f>
        <v/>
      </c>
      <c r="B64" s="4">
        <f>'Raw Data'!A64</f>
        <v/>
      </c>
      <c r="C64" s="4">
        <f>'Raw Data'!B64</f>
        <v/>
      </c>
      <c r="D64" s="4">
        <f>'Raw Data'!C64</f>
        <v/>
      </c>
      <c r="E64" s="4">
        <f>'Raw Data'!D64</f>
        <v/>
      </c>
      <c r="F64" s="4">
        <f>'Raw Data'!F64</f>
        <v/>
      </c>
      <c r="G64" s="4">
        <f>'Raw Data'!G64</f>
        <v/>
      </c>
      <c r="H64" s="4">
        <f>'Raw Data'!J64</f>
        <v/>
      </c>
      <c r="I64" s="5">
        <f>scale*MIN(E64,kd_cap)*(F64/'Raw Data'!$B$70)*(1+MIN(LN(H64+1)/LN(flag_log_base)+IF(D64&gt;=threshold,(H64/'Raw Data'!$B$72-1)*flag_w_regular,(H64/'Raw Data'!$B$73-1)*flag_w_nonregular),flag_cap))*(1-MIN((G64/'Raw Data'!$B$71-1)*death_w,death_cap))</f>
        <v/>
      </c>
      <c r="J64" s="6">
        <f>'Raw Data'!L64</f>
        <v/>
      </c>
      <c r="K64" s="7">
        <f>I64-J64</f>
        <v/>
      </c>
    </row>
    <row r="65">
      <c r="A65" s="4">
        <f>RANK(I65,$I$5:$I$65)</f>
        <v/>
      </c>
      <c r="B65" s="4">
        <f>'Raw Data'!A65</f>
        <v/>
      </c>
      <c r="C65" s="4">
        <f>'Raw Data'!B65</f>
        <v/>
      </c>
      <c r="D65" s="4">
        <f>'Raw Data'!C65</f>
        <v/>
      </c>
      <c r="E65" s="4">
        <f>'Raw Data'!D65</f>
        <v/>
      </c>
      <c r="F65" s="4">
        <f>'Raw Data'!F65</f>
        <v/>
      </c>
      <c r="G65" s="4">
        <f>'Raw Data'!G65</f>
        <v/>
      </c>
      <c r="H65" s="4">
        <f>'Raw Data'!J65</f>
        <v/>
      </c>
      <c r="I65" s="5">
        <f>scale*MIN(E65,kd_cap)*(F65/'Raw Data'!$B$70)*(1+MIN(LN(H65+1)/LN(flag_log_base)+IF(D65&gt;=threshold,(H65/'Raw Data'!$B$72-1)*flag_w_regular,(H65/'Raw Data'!$B$73-1)*flag_w_nonregular),flag_cap))*(1-MIN((G65/'Raw Data'!$B$71-1)*death_w,death_cap))</f>
        <v/>
      </c>
      <c r="J65" s="6">
        <f>'Raw Data'!L65</f>
        <v/>
      </c>
      <c r="K65" s="7">
        <f>I65-J65</f>
        <v/>
      </c>
    </row>
    <row r="67">
      <c r="B67" s="8" t="inlineStr">
        <is>
          <t>Max |Live - Reference| across all 61 players:</t>
        </is>
      </c>
      <c r="I67" s="9">
        <f>MAX(ABS(K5:K65))</f>
        <v/>
      </c>
    </row>
    <row r="68">
      <c r="B68" s="10" t="inlineStr">
        <is>
          <t>(Should be ~0 at default knobs. python cross-check before this workbook was built: 0.0139.)</t>
        </is>
      </c>
    </row>
  </sheetData>
  <mergeCells count="2">
    <mergeCell ref="A2:K2"/>
    <mergeCell ref="B68:H6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20" customWidth="1" min="1" max="1"/>
    <col width="10" customWidth="1" min="2" max="2"/>
    <col width="85" customWidth="1" min="3" max="3"/>
  </cols>
  <sheetData>
    <row r="1">
      <c r="A1" s="1" t="inlineStr">
        <is>
          <t>OLD KTPR — knobs (Philly LAN 2026)</t>
        </is>
      </c>
    </row>
    <row r="2">
      <c r="A2" s="2" t="inlineStr">
        <is>
          <t>This is the ORIGINAL multiplicative Excel formula that was actually used to score Philly LAN, not this project's redesign. Edit yellow cells; Leaderboard recalculates live.</t>
        </is>
      </c>
    </row>
    <row r="3">
      <c r="A3" s="10" t="inlineStr">
        <is>
          <t>KTPR = scale x [min(K/D,kd_cap) x (Kills/Half / median_regulars)] x (1+flag_bonus) x (1-death_penalty)</t>
        </is>
      </c>
    </row>
    <row r="5">
      <c r="A5" s="3" t="inlineStr">
        <is>
          <t>Knob</t>
        </is>
      </c>
      <c r="B5" s="3" t="inlineStr">
        <is>
          <t>Value</t>
        </is>
      </c>
      <c r="C5" s="3" t="inlineStr">
        <is>
          <t>Description</t>
        </is>
      </c>
    </row>
    <row r="6" ht="28" customHeight="1">
      <c r="A6" t="inlineStr">
        <is>
          <t>scale</t>
        </is>
      </c>
      <c r="B6" s="11" t="n">
        <v>0.8</v>
      </c>
      <c r="C6" s="12" t="inlineStr">
        <is>
          <t>Final multiplier.</t>
        </is>
      </c>
    </row>
    <row r="7" ht="28" customHeight="1">
      <c r="A7" t="inlineStr">
        <is>
          <t>kd_cap</t>
        </is>
      </c>
      <c r="B7" s="11" t="n">
        <v>1.1</v>
      </c>
      <c r="C7" s="12" t="inlineStr">
        <is>
          <t>Ceiling on the K/D skill ratio before it's used.</t>
        </is>
      </c>
    </row>
    <row r="8" ht="28" customHeight="1">
      <c r="A8" t="inlineStr">
        <is>
          <t>flag_w_regular</t>
        </is>
      </c>
      <c r="B8" s="11" t="n">
        <v>0.5</v>
      </c>
      <c r="C8" s="12" t="inlineStr">
        <is>
          <t>Relative-flag weight for 'regular' players (matches &gt;= threshold).</t>
        </is>
      </c>
    </row>
    <row r="9" ht="28" customHeight="1">
      <c r="A9" t="inlineStr">
        <is>
          <t>flag_w_nonregular</t>
        </is>
      </c>
      <c r="B9" s="11" t="n">
        <v>0.3</v>
      </c>
      <c r="C9" s="12" t="inlineStr">
        <is>
          <t>Relative-flag weight for non-regulars.</t>
        </is>
      </c>
    </row>
    <row r="10" ht="28" customHeight="1">
      <c r="A10" t="inlineStr">
        <is>
          <t>flag_cap</t>
        </is>
      </c>
      <c r="B10" s="11" t="n">
        <v>0.4</v>
      </c>
      <c r="C10" s="12" t="inlineStr">
        <is>
          <t>Ceiling on the total flag bonus.</t>
        </is>
      </c>
    </row>
    <row r="11" ht="28" customHeight="1">
      <c r="A11" t="inlineStr">
        <is>
          <t>flag_log_base</t>
        </is>
      </c>
      <c r="B11" s="11" t="n">
        <v>25</v>
      </c>
      <c r="C11" s="12" t="inlineStr">
        <is>
          <t>LOG(flags/half + 1) / LOG(this) -- diminishing-returns term on raw flag volume.</t>
        </is>
      </c>
    </row>
    <row r="12" ht="28" customHeight="1">
      <c r="A12" t="inlineStr">
        <is>
          <t>death_w</t>
        </is>
      </c>
      <c r="B12" s="11" t="n">
        <v>0.2</v>
      </c>
      <c r="C12" s="12" t="inlineStr">
        <is>
          <t>Death penalty weight.</t>
        </is>
      </c>
    </row>
    <row r="13" ht="28" customHeight="1">
      <c r="A13" t="inlineStr">
        <is>
          <t>death_cap</t>
        </is>
      </c>
      <c r="B13" s="11" t="n">
        <v>0.15</v>
      </c>
      <c r="C13" s="12" t="inlineStr">
        <is>
          <t>Ceiling on the death penalty.</t>
        </is>
      </c>
    </row>
    <row r="14" ht="28" customHeight="1">
      <c r="A14" t="inlineStr">
        <is>
          <t>part_floor</t>
        </is>
      </c>
      <c r="B14" s="11" t="n">
        <v>0</v>
      </c>
      <c r="C14" s="12" t="inlineStr">
        <is>
          <t>Floor on the participation ('regular player') threshold.</t>
        </is>
      </c>
    </row>
  </sheetData>
  <mergeCells count="2">
    <mergeCell ref="A3:D3"/>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c r="A1" s="1" t="inlineStr">
        <is>
          <t>Raw data — Philly LAN 2026, Sat+Sun tournament matches only (match_type=0)</t>
        </is>
      </c>
    </row>
    <row r="2">
      <c r="A2" s="2" t="inlineStr">
        <is>
          <t>61 players, 55 matches. Source: hlstatsx_lan (HLStatsX-spine kills/deaths/flags; HUD-augmented assists/damage/breaks). Pulled 2026-08-07 via ktpr_mysql.py.</t>
        </is>
      </c>
    </row>
    <row r="4">
      <c r="A4" s="3" t="inlineStr">
        <is>
          <t>Player</t>
        </is>
      </c>
      <c r="B4" s="3" t="inlineStr">
        <is>
          <t>Role</t>
        </is>
      </c>
      <c r="C4" s="3" t="inlineStr">
        <is>
          <t>Matches</t>
        </is>
      </c>
      <c r="D4" s="3" t="inlineStr">
        <is>
          <t>K/D</t>
        </is>
      </c>
      <c r="E4" s="3" t="inlineStr">
        <is>
          <t>KDA</t>
        </is>
      </c>
      <c r="F4" s="3" t="inlineStr">
        <is>
          <t>Kills/Half</t>
        </is>
      </c>
      <c r="G4" s="3" t="inlineStr">
        <is>
          <t>Deaths/Half</t>
        </is>
      </c>
      <c r="H4" s="3" t="inlineStr">
        <is>
          <t>Assists/Half</t>
        </is>
      </c>
      <c r="I4" s="3" t="inlineStr">
        <is>
          <t>Damage/Half</t>
        </is>
      </c>
      <c r="J4" s="3" t="inlineStr">
        <is>
          <t>Flags/Half</t>
        </is>
      </c>
      <c r="K4" s="3" t="inlineStr">
        <is>
          <t>Breaks/Half</t>
        </is>
      </c>
      <c r="L4" s="3" t="inlineStr">
        <is>
          <t>Published Old KTPR</t>
        </is>
      </c>
      <c r="M4" s="3" t="inlineStr">
        <is>
          <t>Published Current KTPR</t>
        </is>
      </c>
      <c r="N4" s="3" t="inlineStr">
        <is>
          <t>Published New KTPR</t>
        </is>
      </c>
    </row>
    <row r="5">
      <c r="A5" s="4" t="inlineStr">
        <is>
          <t>dicE[: :]stealthlol</t>
        </is>
      </c>
      <c r="B5" s="4" t="inlineStr">
        <is>
          <t>Sniper</t>
        </is>
      </c>
      <c r="C5" s="4" t="n">
        <v>13</v>
      </c>
      <c r="D5" s="4" t="n">
        <v>1.15</v>
      </c>
      <c r="E5" s="4" t="n">
        <v>1.21</v>
      </c>
      <c r="F5" s="4" t="n">
        <v>24.8</v>
      </c>
      <c r="G5" s="4" t="n">
        <v>21.7</v>
      </c>
      <c r="H5" s="4" t="n">
        <v>1.3</v>
      </c>
      <c r="I5" s="4" t="n">
        <v>3752</v>
      </c>
      <c r="J5" s="4" t="n">
        <v>3.3</v>
      </c>
      <c r="K5" s="4" t="n">
        <v>0.2</v>
      </c>
      <c r="L5" s="4" t="n">
        <v>1.24</v>
      </c>
      <c r="M5" s="4" t="n">
        <v>1.15</v>
      </c>
      <c r="N5" s="4" t="n">
        <v>1.3</v>
      </c>
    </row>
    <row r="6">
      <c r="A6" s="4" t="inlineStr">
        <is>
          <t>[bb] bR0M ＃4BIGDAWG</t>
        </is>
      </c>
      <c r="B6" s="4" t="inlineStr">
        <is>
          <t>Rifle</t>
        </is>
      </c>
      <c r="C6" s="4" t="n">
        <v>8</v>
      </c>
      <c r="D6" s="4" t="n">
        <v>1.1</v>
      </c>
      <c r="E6" s="4" t="n">
        <v>1.31</v>
      </c>
      <c r="F6" s="4" t="n">
        <v>24.4</v>
      </c>
      <c r="G6" s="4" t="n">
        <v>22.1</v>
      </c>
      <c r="H6" s="4" t="n">
        <v>4.5</v>
      </c>
      <c r="I6" s="4" t="n">
        <v>4078</v>
      </c>
      <c r="J6" s="4" t="n">
        <v>6.3</v>
      </c>
      <c r="K6" s="4" t="n">
        <v>0.5</v>
      </c>
      <c r="L6" s="4" t="n">
        <v>1.25</v>
      </c>
      <c r="M6" s="4" t="n">
        <v>1.13</v>
      </c>
      <c r="N6" s="4" t="n">
        <v>1.29</v>
      </c>
    </row>
    <row r="7">
      <c r="A7" s="4" t="inlineStr">
        <is>
          <t>[NATO] baiko ＃gubbe.se</t>
        </is>
      </c>
      <c r="B7" s="4" t="inlineStr">
        <is>
          <t>Rifle</t>
        </is>
      </c>
      <c r="C7" s="4" t="n">
        <v>12</v>
      </c>
      <c r="D7" s="4" t="n">
        <v>1.12</v>
      </c>
      <c r="E7" s="4" t="n">
        <v>1.37</v>
      </c>
      <c r="F7" s="4" t="n">
        <v>25</v>
      </c>
      <c r="G7" s="4" t="n">
        <v>22.3</v>
      </c>
      <c r="H7" s="4" t="n">
        <v>5.6</v>
      </c>
      <c r="I7" s="4" t="n">
        <v>4473</v>
      </c>
      <c r="J7" s="4" t="n">
        <v>4.2</v>
      </c>
      <c r="K7" s="4" t="n">
        <v>0.5</v>
      </c>
      <c r="L7" s="4" t="n">
        <v>1.28</v>
      </c>
      <c r="M7" s="4" t="n">
        <v>1.16</v>
      </c>
      <c r="N7" s="4" t="n">
        <v>1.28</v>
      </c>
    </row>
    <row r="8">
      <c r="A8" s="4" t="inlineStr">
        <is>
          <t>iH.hildebrand?</t>
        </is>
      </c>
      <c r="B8" s="4" t="inlineStr">
        <is>
          <t>Sniper</t>
        </is>
      </c>
      <c r="C8" s="4" t="n">
        <v>11</v>
      </c>
      <c r="D8" s="4" t="n">
        <v>1.69</v>
      </c>
      <c r="E8" s="4" t="n">
        <v>1.77</v>
      </c>
      <c r="F8" s="4" t="n">
        <v>23.6</v>
      </c>
      <c r="G8" s="4" t="n">
        <v>14</v>
      </c>
      <c r="H8" s="4" t="n">
        <v>1</v>
      </c>
      <c r="I8" s="4" t="n">
        <v>3864</v>
      </c>
      <c r="J8" s="4" t="n">
        <v>3.6</v>
      </c>
      <c r="K8" s="4" t="n">
        <v>0.1</v>
      </c>
      <c r="L8" s="4" t="n">
        <v>1.29</v>
      </c>
      <c r="M8" s="4" t="n">
        <v>1.17</v>
      </c>
      <c r="N8" s="4" t="n">
        <v>1.27</v>
      </c>
    </row>
    <row r="9">
      <c r="A9" s="4" t="inlineStr">
        <is>
          <t>ßℓυ†н \| TillJim</t>
        </is>
      </c>
      <c r="B9" s="4" t="inlineStr">
        <is>
          <t>Rifle</t>
        </is>
      </c>
      <c r="C9" s="4" t="n">
        <v>12</v>
      </c>
      <c r="D9" s="4" t="n">
        <v>1.11</v>
      </c>
      <c r="E9" s="4" t="n">
        <v>1.31</v>
      </c>
      <c r="F9" s="4" t="n">
        <v>26.2</v>
      </c>
      <c r="G9" s="4" t="n">
        <v>23.7</v>
      </c>
      <c r="H9" s="4" t="n">
        <v>4.7</v>
      </c>
      <c r="I9" s="4" t="n">
        <v>4256</v>
      </c>
      <c r="J9" s="4" t="n">
        <v>3.3</v>
      </c>
      <c r="K9" s="4" t="n">
        <v>0.7</v>
      </c>
      <c r="L9" s="4" t="n">
        <v>1.3</v>
      </c>
      <c r="M9" s="4" t="n">
        <v>1.2</v>
      </c>
      <c r="N9" s="4" t="n">
        <v>1.26</v>
      </c>
    </row>
    <row r="10">
      <c r="A10" s="4" t="inlineStr">
        <is>
          <t>ßℓυ†н \| nicholson</t>
        </is>
      </c>
      <c r="B10" s="4" t="inlineStr">
        <is>
          <t>Rifle</t>
        </is>
      </c>
      <c r="C10" s="4" t="n">
        <v>12</v>
      </c>
      <c r="D10" s="4" t="n">
        <v>1.05</v>
      </c>
      <c r="E10" s="4" t="n">
        <v>1.23</v>
      </c>
      <c r="F10" s="4" t="n">
        <v>21.1</v>
      </c>
      <c r="G10" s="4" t="n">
        <v>20.1</v>
      </c>
      <c r="H10" s="4" t="n">
        <v>3.6</v>
      </c>
      <c r="I10" s="4" t="n">
        <v>3483</v>
      </c>
      <c r="J10" s="4" t="n">
        <v>3.3</v>
      </c>
      <c r="K10" s="4" t="n">
        <v>0.9</v>
      </c>
      <c r="L10" s="4" t="n">
        <v>1.03</v>
      </c>
      <c r="M10" s="4" t="n">
        <v>0.9399999999999999</v>
      </c>
      <c r="N10" s="4" t="n">
        <v>1.25</v>
      </c>
    </row>
    <row r="11">
      <c r="A11" s="4" t="inlineStr">
        <is>
          <t>NoSo ! arachnid</t>
        </is>
      </c>
      <c r="B11" s="4" t="inlineStr">
        <is>
          <t>Sniper</t>
        </is>
      </c>
      <c r="C11" s="4" t="n">
        <v>12</v>
      </c>
      <c r="D11" s="4" t="n">
        <v>1.13</v>
      </c>
      <c r="E11" s="4" t="n">
        <v>1.18</v>
      </c>
      <c r="F11" s="4" t="n">
        <v>24.4</v>
      </c>
      <c r="G11" s="4" t="n">
        <v>21.6</v>
      </c>
      <c r="H11" s="4" t="n">
        <v>1.2</v>
      </c>
      <c r="I11" s="4" t="n">
        <v>3546</v>
      </c>
      <c r="J11" s="4" t="n">
        <v>2.2</v>
      </c>
      <c r="K11" s="4" t="n">
        <v>0.2</v>
      </c>
      <c r="L11" s="4" t="n">
        <v>1.02</v>
      </c>
      <c r="M11" s="4" t="n">
        <v>1.03</v>
      </c>
      <c r="N11" s="4" t="n">
        <v>1.19</v>
      </c>
    </row>
    <row r="12">
      <c r="A12" s="4" t="inlineStr">
        <is>
          <t>NoSo ! Savage¬</t>
        </is>
      </c>
      <c r="B12" s="4" t="inlineStr">
        <is>
          <t>Rifle</t>
        </is>
      </c>
      <c r="C12" s="4" t="n">
        <v>12</v>
      </c>
      <c r="D12" s="4" t="n">
        <v>1.21</v>
      </c>
      <c r="E12" s="4" t="n">
        <v>1.36</v>
      </c>
      <c r="F12" s="4" t="n">
        <v>27.2</v>
      </c>
      <c r="G12" s="4" t="n">
        <v>22.6</v>
      </c>
      <c r="H12" s="4" t="n">
        <v>3.5</v>
      </c>
      <c r="I12" s="4" t="n">
        <v>4372</v>
      </c>
      <c r="J12" s="4" t="n">
        <v>3.8</v>
      </c>
      <c r="K12" s="4" t="n">
        <v>0.4</v>
      </c>
      <c r="L12" s="4" t="n">
        <v>1.39</v>
      </c>
      <c r="M12" s="4" t="n">
        <v>1.25</v>
      </c>
      <c r="N12" s="4" t="n">
        <v>1.12</v>
      </c>
    </row>
    <row r="13">
      <c r="A13" s="4" t="inlineStr">
        <is>
          <t>ßℓυ†н \| patten</t>
        </is>
      </c>
      <c r="B13" s="4" t="inlineStr">
        <is>
          <t>Sniper</t>
        </is>
      </c>
      <c r="C13" s="4" t="n">
        <v>12</v>
      </c>
      <c r="D13" s="4" t="n">
        <v>1.09</v>
      </c>
      <c r="E13" s="4" t="n">
        <v>1.17</v>
      </c>
      <c r="F13" s="4" t="n">
        <v>22.6</v>
      </c>
      <c r="G13" s="4" t="n">
        <v>20.8</v>
      </c>
      <c r="H13" s="4" t="n">
        <v>1.8</v>
      </c>
      <c r="I13" s="4" t="n">
        <v>3741</v>
      </c>
      <c r="J13" s="4" t="n">
        <v>2.5</v>
      </c>
      <c r="K13" s="4" t="n">
        <v>0.1</v>
      </c>
      <c r="L13" s="4" t="n">
        <v>1</v>
      </c>
      <c r="M13" s="4" t="n">
        <v>0.99</v>
      </c>
      <c r="N13" s="4" t="n">
        <v>1.12</v>
      </c>
    </row>
    <row r="14">
      <c r="A14" s="4" t="inlineStr">
        <is>
          <t>iH.Seanality</t>
        </is>
      </c>
      <c r="B14" s="4" t="inlineStr">
        <is>
          <t>Rifle</t>
        </is>
      </c>
      <c r="C14" s="4" t="n">
        <v>11</v>
      </c>
      <c r="D14" s="4" t="n">
        <v>1.25</v>
      </c>
      <c r="E14" s="4" t="n">
        <v>1.49</v>
      </c>
      <c r="F14" s="4" t="n">
        <v>26.5</v>
      </c>
      <c r="G14" s="4" t="n">
        <v>21.2</v>
      </c>
      <c r="H14" s="4" t="n">
        <v>5</v>
      </c>
      <c r="I14" s="4" t="n">
        <v>4618</v>
      </c>
      <c r="J14" s="4" t="n">
        <v>6.7</v>
      </c>
      <c r="K14" s="4" t="n">
        <v>0.1</v>
      </c>
      <c r="L14" s="4" t="n">
        <v>1.37</v>
      </c>
      <c r="M14" s="4" t="n">
        <v>1.24</v>
      </c>
      <c r="N14" s="4" t="n">
        <v>1.12</v>
      </c>
    </row>
    <row r="15">
      <c r="A15" s="4" t="inlineStr">
        <is>
          <t>ßℓυ†н \| p12</t>
        </is>
      </c>
      <c r="B15" s="4" t="inlineStr">
        <is>
          <t>Rifle</t>
        </is>
      </c>
      <c r="C15" s="4" t="n">
        <v>12</v>
      </c>
      <c r="D15" s="4" t="n">
        <v>0.85</v>
      </c>
      <c r="E15" s="4" t="n">
        <v>1.09</v>
      </c>
      <c r="F15" s="4" t="n">
        <v>21.9</v>
      </c>
      <c r="G15" s="4" t="n">
        <v>25.7</v>
      </c>
      <c r="H15" s="4" t="n">
        <v>6</v>
      </c>
      <c r="I15" s="4" t="n">
        <v>3757</v>
      </c>
      <c r="J15" s="4" t="n">
        <v>4.5</v>
      </c>
      <c r="K15" s="4" t="n">
        <v>0.3</v>
      </c>
      <c r="L15" s="4" t="n">
        <v>0.84</v>
      </c>
      <c r="M15" s="4" t="n">
        <v>0.76</v>
      </c>
      <c r="N15" s="4" t="n">
        <v>1.12</v>
      </c>
    </row>
    <row r="16">
      <c r="A16" s="4" t="inlineStr">
        <is>
          <t>[bb] Polak</t>
        </is>
      </c>
      <c r="B16" s="4" t="inlineStr">
        <is>
          <t>Rifle</t>
        </is>
      </c>
      <c r="C16" s="4" t="n">
        <v>9</v>
      </c>
      <c r="D16" s="4" t="n">
        <v>1.15</v>
      </c>
      <c r="E16" s="4" t="n">
        <v>1.31</v>
      </c>
      <c r="F16" s="4" t="n">
        <v>25.2</v>
      </c>
      <c r="G16" s="4" t="n">
        <v>21.8</v>
      </c>
      <c r="H16" s="4" t="n">
        <v>3.4</v>
      </c>
      <c r="I16" s="4" t="n">
        <v>4022</v>
      </c>
      <c r="J16" s="4" t="n">
        <v>6.1</v>
      </c>
      <c r="K16" s="4" t="n">
        <v>0.3</v>
      </c>
      <c r="L16" s="4" t="n">
        <v>1.29</v>
      </c>
      <c r="M16" s="4" t="n">
        <v>1.17</v>
      </c>
      <c r="N16" s="4" t="n">
        <v>1.11</v>
      </c>
    </row>
    <row r="17">
      <c r="A17" s="4" t="inlineStr">
        <is>
          <t>dicE[: :]player</t>
        </is>
      </c>
      <c r="B17" s="4" t="inlineStr">
        <is>
          <t>Heavy</t>
        </is>
      </c>
      <c r="C17" s="4" t="n">
        <v>13</v>
      </c>
      <c r="D17" s="4" t="n">
        <v>1.18</v>
      </c>
      <c r="E17" s="4" t="n">
        <v>1.38</v>
      </c>
      <c r="F17" s="4" t="n">
        <v>26.3</v>
      </c>
      <c r="G17" s="4" t="n">
        <v>22.3</v>
      </c>
      <c r="H17" s="4" t="n">
        <v>4.5</v>
      </c>
      <c r="I17" s="4" t="n">
        <v>3737</v>
      </c>
      <c r="J17" s="4" t="n">
        <v>4.8</v>
      </c>
      <c r="K17" s="4" t="n">
        <v>0.5</v>
      </c>
      <c r="L17" s="4" t="n">
        <v>1.34</v>
      </c>
      <c r="M17" s="4" t="n">
        <v>1.21</v>
      </c>
      <c r="N17" s="4" t="n">
        <v>1.1</v>
      </c>
    </row>
    <row r="18">
      <c r="A18" s="4" t="inlineStr">
        <is>
          <t>[bb] cK- ＃phillylan2026</t>
        </is>
      </c>
      <c r="B18" s="4" t="inlineStr">
        <is>
          <t>Rifle</t>
        </is>
      </c>
      <c r="C18" s="4" t="n">
        <v>10</v>
      </c>
      <c r="D18" s="4" t="n">
        <v>1.02</v>
      </c>
      <c r="E18" s="4" t="n">
        <v>1.18</v>
      </c>
      <c r="F18" s="4" t="n">
        <v>28</v>
      </c>
      <c r="G18" s="4" t="n">
        <v>27.4</v>
      </c>
      <c r="H18" s="4" t="n">
        <v>4.4</v>
      </c>
      <c r="I18" s="4" t="n">
        <v>4516</v>
      </c>
      <c r="J18" s="4" t="n">
        <v>4.6</v>
      </c>
      <c r="K18" s="4" t="n">
        <v>0.4</v>
      </c>
      <c r="L18" s="4" t="n">
        <v>1.26</v>
      </c>
      <c r="M18" s="4" t="n">
        <v>1.14</v>
      </c>
      <c r="N18" s="4" t="n">
        <v>1.1</v>
      </c>
    </row>
    <row r="19">
      <c r="A19" s="4" t="inlineStr">
        <is>
          <t>b.   steve</t>
        </is>
      </c>
      <c r="B19" s="4" t="inlineStr">
        <is>
          <t>Sniper</t>
        </is>
      </c>
      <c r="C19" s="4" t="n">
        <v>8</v>
      </c>
      <c r="D19" s="4" t="n">
        <v>0.93</v>
      </c>
      <c r="E19" s="4" t="n">
        <v>0.95</v>
      </c>
      <c r="F19" s="4" t="n">
        <v>24.4</v>
      </c>
      <c r="G19" s="4" t="n">
        <v>26.2</v>
      </c>
      <c r="H19" s="4" t="n">
        <v>0.5</v>
      </c>
      <c r="I19" s="4" t="n">
        <v>3665</v>
      </c>
      <c r="J19" s="4" t="n">
        <v>3</v>
      </c>
      <c r="K19" s="4" t="n">
        <v>0.4</v>
      </c>
      <c r="L19" s="4" t="n">
        <v>0.99</v>
      </c>
      <c r="M19" s="4" t="n">
        <v>0.92</v>
      </c>
      <c r="N19" s="4" t="n">
        <v>1.09</v>
      </c>
    </row>
    <row r="20">
      <c r="A20" s="4" t="inlineStr">
        <is>
          <t>iH.kanguhhh?!</t>
        </is>
      </c>
      <c r="B20" s="4" t="inlineStr">
        <is>
          <t>Heavy</t>
        </is>
      </c>
      <c r="C20" s="4" t="n">
        <v>11</v>
      </c>
      <c r="D20" s="4" t="n">
        <v>1.17</v>
      </c>
      <c r="E20" s="4" t="n">
        <v>1.45</v>
      </c>
      <c r="F20" s="4" t="n">
        <v>23.8</v>
      </c>
      <c r="G20" s="4" t="n">
        <v>20.4</v>
      </c>
      <c r="H20" s="4" t="n">
        <v>5.8</v>
      </c>
      <c r="I20" s="4" t="n">
        <v>3749</v>
      </c>
      <c r="J20" s="4" t="n">
        <v>4.5</v>
      </c>
      <c r="K20" s="4" t="n">
        <v>0.3</v>
      </c>
      <c r="L20" s="4" t="n">
        <v>1.24</v>
      </c>
      <c r="M20" s="4" t="n">
        <v>1.12</v>
      </c>
      <c r="N20" s="4" t="n">
        <v>1.09</v>
      </c>
    </row>
    <row r="21">
      <c r="A21" s="4" t="inlineStr">
        <is>
          <t>[bb] piff ＃4Monty</t>
        </is>
      </c>
      <c r="B21" s="4" t="inlineStr">
        <is>
          <t>Heavy</t>
        </is>
      </c>
      <c r="C21" s="4" t="n">
        <v>10</v>
      </c>
      <c r="D21" s="4" t="n">
        <v>1.15</v>
      </c>
      <c r="E21" s="4" t="n">
        <v>1.34</v>
      </c>
      <c r="F21" s="4" t="n">
        <v>30.8</v>
      </c>
      <c r="G21" s="4" t="n">
        <v>26.8</v>
      </c>
      <c r="H21" s="4" t="n">
        <v>5.2</v>
      </c>
      <c r="I21" s="4" t="n">
        <v>4599</v>
      </c>
      <c r="J21" s="4" t="n">
        <v>6.2</v>
      </c>
      <c r="K21" s="4" t="n">
        <v>0.5</v>
      </c>
      <c r="L21" s="4" t="n">
        <v>1.51</v>
      </c>
      <c r="M21" s="4" t="n">
        <v>1.36</v>
      </c>
      <c r="N21" s="4" t="n">
        <v>1.08</v>
      </c>
    </row>
    <row r="22">
      <c r="A22" s="4" t="inlineStr">
        <is>
          <t>[$] billbsod</t>
        </is>
      </c>
      <c r="B22" s="4" t="inlineStr">
        <is>
          <t>SMG</t>
        </is>
      </c>
      <c r="C22" s="4" t="n">
        <v>12</v>
      </c>
      <c r="D22" s="4" t="n">
        <v>0.73</v>
      </c>
      <c r="E22" s="4" t="n">
        <v>0.86</v>
      </c>
      <c r="F22" s="4" t="n">
        <v>22.1</v>
      </c>
      <c r="G22" s="4" t="n">
        <v>30.4</v>
      </c>
      <c r="H22" s="4" t="n">
        <v>4</v>
      </c>
      <c r="I22" s="4" t="n">
        <v>3315</v>
      </c>
      <c r="J22" s="4" t="n">
        <v>6.5</v>
      </c>
      <c r="K22" s="4" t="n">
        <v>0.5</v>
      </c>
      <c r="L22" s="4" t="n">
        <v>0.6899999999999999</v>
      </c>
      <c r="M22" s="4" t="n">
        <v>0.63</v>
      </c>
      <c r="N22" s="4" t="n">
        <v>1.08</v>
      </c>
    </row>
    <row r="23">
      <c r="A23" s="4" t="inlineStr">
        <is>
          <t>****JTM   LaNGoNdd&lt;3vt</t>
        </is>
      </c>
      <c r="B23" s="4" t="inlineStr">
        <is>
          <t>Rifle</t>
        </is>
      </c>
      <c r="C23" s="4" t="n">
        <v>11</v>
      </c>
      <c r="D23" s="4" t="n">
        <v>1.3</v>
      </c>
      <c r="E23" s="4" t="n">
        <v>1.53</v>
      </c>
      <c r="F23" s="4" t="n">
        <v>24.6</v>
      </c>
      <c r="G23" s="4" t="n">
        <v>19</v>
      </c>
      <c r="H23" s="4" t="n">
        <v>4.3</v>
      </c>
      <c r="I23" s="4" t="n">
        <v>3981</v>
      </c>
      <c r="J23" s="4" t="n">
        <v>2.4</v>
      </c>
      <c r="K23" s="4" t="n">
        <v>0.2</v>
      </c>
      <c r="L23" s="4" t="n">
        <v>1.1</v>
      </c>
      <c r="M23" s="4" t="n">
        <v>1.1</v>
      </c>
      <c r="N23" s="4" t="n">
        <v>1.07</v>
      </c>
    </row>
    <row r="24">
      <c r="A24" s="4" t="inlineStr">
        <is>
          <t>dicE[: :]m00cat :D</t>
        </is>
      </c>
      <c r="B24" s="4" t="inlineStr">
        <is>
          <t>Heavy</t>
        </is>
      </c>
      <c r="C24" s="4" t="n">
        <v>13</v>
      </c>
      <c r="D24" s="4" t="n">
        <v>1.05</v>
      </c>
      <c r="E24" s="4" t="n">
        <v>1.28</v>
      </c>
      <c r="F24" s="4" t="n">
        <v>22.3</v>
      </c>
      <c r="G24" s="4" t="n">
        <v>21.2</v>
      </c>
      <c r="H24" s="4" t="n">
        <v>4.9</v>
      </c>
      <c r="I24" s="4" t="n">
        <v>3275</v>
      </c>
      <c r="J24" s="4" t="n">
        <v>3.5</v>
      </c>
      <c r="K24" s="4" t="n">
        <v>0.5</v>
      </c>
      <c r="L24" s="4" t="n">
        <v>1.1</v>
      </c>
      <c r="M24" s="4" t="n">
        <v>0.99</v>
      </c>
      <c r="N24" s="4" t="n">
        <v>1.05</v>
      </c>
    </row>
    <row r="25">
      <c r="A25" s="4" t="inlineStr">
        <is>
          <t>****JTM   jules</t>
        </is>
      </c>
      <c r="B25" s="4" t="inlineStr">
        <is>
          <t>Heavy</t>
        </is>
      </c>
      <c r="C25" s="4" t="n">
        <v>11</v>
      </c>
      <c r="D25" s="4" t="n">
        <v>1.38</v>
      </c>
      <c r="E25" s="4" t="n">
        <v>1.56</v>
      </c>
      <c r="F25" s="4" t="n">
        <v>28.5</v>
      </c>
      <c r="G25" s="4" t="n">
        <v>20.5</v>
      </c>
      <c r="H25" s="4" t="n">
        <v>3.5</v>
      </c>
      <c r="I25" s="4" t="n">
        <v>4202</v>
      </c>
      <c r="J25" s="4" t="n">
        <v>4.4</v>
      </c>
      <c r="K25" s="4" t="n">
        <v>0.4</v>
      </c>
      <c r="L25" s="4" t="n">
        <v>1.48</v>
      </c>
      <c r="M25" s="4" t="n">
        <v>1.33</v>
      </c>
      <c r="N25" s="4" t="n">
        <v>1.05</v>
      </c>
    </row>
    <row r="26">
      <c r="A26" s="4" t="inlineStr">
        <is>
          <t>[NATO] Sq =)))</t>
        </is>
      </c>
      <c r="B26" s="4" t="inlineStr">
        <is>
          <t>Rifle</t>
        </is>
      </c>
      <c r="C26" s="4" t="n">
        <v>12</v>
      </c>
      <c r="D26" s="4" t="n">
        <v>1.02</v>
      </c>
      <c r="E26" s="4" t="n">
        <v>1.17</v>
      </c>
      <c r="F26" s="4" t="n">
        <v>21.3</v>
      </c>
      <c r="G26" s="4" t="n">
        <v>20.8</v>
      </c>
      <c r="H26" s="4" t="n">
        <v>3</v>
      </c>
      <c r="I26" s="4" t="n">
        <v>3563</v>
      </c>
      <c r="J26" s="4" t="n">
        <v>3.2</v>
      </c>
      <c r="K26" s="4" t="n">
        <v>0.3</v>
      </c>
      <c r="L26" s="4" t="n">
        <v>1</v>
      </c>
      <c r="M26" s="4" t="n">
        <v>0.93</v>
      </c>
      <c r="N26" s="4" t="n">
        <v>1.02</v>
      </c>
    </row>
    <row r="27">
      <c r="A27" s="4" t="inlineStr">
        <is>
          <t>iH.monday</t>
        </is>
      </c>
      <c r="B27" s="4" t="inlineStr">
        <is>
          <t>Heavy</t>
        </is>
      </c>
      <c r="C27" s="4" t="n">
        <v>11</v>
      </c>
      <c r="D27" s="4" t="n">
        <v>1.19</v>
      </c>
      <c r="E27" s="4" t="n">
        <v>1.41</v>
      </c>
      <c r="F27" s="4" t="n">
        <v>24</v>
      </c>
      <c r="G27" s="4" t="n">
        <v>20.1</v>
      </c>
      <c r="H27" s="4" t="n">
        <v>4.4</v>
      </c>
      <c r="I27" s="4" t="n">
        <v>3500</v>
      </c>
      <c r="J27" s="4" t="n">
        <v>5.7</v>
      </c>
      <c r="K27" s="4" t="n">
        <v>0.2</v>
      </c>
      <c r="L27" s="4" t="n">
        <v>1.25</v>
      </c>
      <c r="M27" s="4" t="n">
        <v>1.13</v>
      </c>
      <c r="N27" s="4" t="n">
        <v>1.02</v>
      </c>
    </row>
    <row r="28">
      <c r="A28" s="4" t="inlineStr">
        <is>
          <t>[bb] reppoĦ</t>
        </is>
      </c>
      <c r="B28" s="4" t="inlineStr">
        <is>
          <t>Heavy</t>
        </is>
      </c>
      <c r="C28" s="4" t="n">
        <v>10</v>
      </c>
      <c r="D28" s="4" t="n">
        <v>0.87</v>
      </c>
      <c r="E28" s="4" t="n">
        <v>1.06</v>
      </c>
      <c r="F28" s="4" t="n">
        <v>20.1</v>
      </c>
      <c r="G28" s="4" t="n">
        <v>23.1</v>
      </c>
      <c r="H28" s="4" t="n">
        <v>4.2</v>
      </c>
      <c r="I28" s="4" t="n">
        <v>3164</v>
      </c>
      <c r="J28" s="4" t="n">
        <v>4.5</v>
      </c>
      <c r="K28" s="4" t="n">
        <v>0.5</v>
      </c>
      <c r="L28" s="4" t="n">
        <v>0.8100000000000001</v>
      </c>
      <c r="M28" s="4" t="n">
        <v>0.73</v>
      </c>
      <c r="N28" s="4" t="n">
        <v>1.01</v>
      </c>
    </row>
    <row r="29">
      <c r="A29" s="4" t="inlineStr">
        <is>
          <t>iH.vertex</t>
        </is>
      </c>
      <c r="B29" s="4" t="inlineStr">
        <is>
          <t>Rifle</t>
        </is>
      </c>
      <c r="C29" s="4" t="n">
        <v>11</v>
      </c>
      <c r="D29" s="4" t="n">
        <v>1.38</v>
      </c>
      <c r="E29" s="4" t="n">
        <v>1.56</v>
      </c>
      <c r="F29" s="4" t="n">
        <v>30.2</v>
      </c>
      <c r="G29" s="4" t="n">
        <v>21.9</v>
      </c>
      <c r="H29" s="4" t="n">
        <v>4</v>
      </c>
      <c r="I29" s="4" t="n">
        <v>4696</v>
      </c>
      <c r="J29" s="4" t="n">
        <v>4.5</v>
      </c>
      <c r="K29" s="4" t="n">
        <v>0.1</v>
      </c>
      <c r="L29" s="4" t="n">
        <v>1.55</v>
      </c>
      <c r="M29" s="4" t="n">
        <v>1.4</v>
      </c>
      <c r="N29" s="4" t="n">
        <v>1.01</v>
      </c>
    </row>
    <row r="30">
      <c r="A30" s="4" t="inlineStr">
        <is>
          <t>****JTM   ihatealiceglass</t>
        </is>
      </c>
      <c r="B30" s="4" t="inlineStr">
        <is>
          <t>Heavy</t>
        </is>
      </c>
      <c r="C30" s="4" t="n">
        <v>11</v>
      </c>
      <c r="D30" s="4" t="n">
        <v>1.09</v>
      </c>
      <c r="E30" s="4" t="n">
        <v>1.31</v>
      </c>
      <c r="F30" s="4" t="n">
        <v>24.3</v>
      </c>
      <c r="G30" s="4" t="n">
        <v>22.3</v>
      </c>
      <c r="H30" s="4" t="n">
        <v>4.9</v>
      </c>
      <c r="I30" s="4" t="n">
        <v>3304</v>
      </c>
      <c r="J30" s="4" t="n">
        <v>3.7</v>
      </c>
      <c r="K30" s="4" t="n">
        <v>0.4</v>
      </c>
      <c r="L30" s="4" t="n">
        <v>1.23</v>
      </c>
      <c r="M30" s="4" t="n">
        <v>1.11</v>
      </c>
      <c r="N30" s="4" t="n">
        <v>1</v>
      </c>
    </row>
    <row r="31">
      <c r="A31" s="4" t="inlineStr">
        <is>
          <t>[NATO] Hub</t>
        </is>
      </c>
      <c r="B31" s="4" t="inlineStr">
        <is>
          <t>Heavy</t>
        </is>
      </c>
      <c r="C31" s="4" t="n">
        <v>12</v>
      </c>
      <c r="D31" s="4" t="n">
        <v>0.96</v>
      </c>
      <c r="E31" s="4" t="n">
        <v>1.15</v>
      </c>
      <c r="F31" s="4" t="n">
        <v>25.2</v>
      </c>
      <c r="G31" s="4" t="n">
        <v>26.2</v>
      </c>
      <c r="H31" s="4" t="n">
        <v>5</v>
      </c>
      <c r="I31" s="4" t="n">
        <v>3968</v>
      </c>
      <c r="J31" s="4" t="n">
        <v>3.9</v>
      </c>
      <c r="K31" s="4" t="n">
        <v>0.5</v>
      </c>
      <c r="L31" s="4" t="n">
        <v>1.08</v>
      </c>
      <c r="M31" s="4" t="n">
        <v>0.98</v>
      </c>
      <c r="N31" s="4" t="n">
        <v>1</v>
      </c>
    </row>
    <row r="32">
      <c r="A32" s="4" t="inlineStr">
        <is>
          <t>dicE[: :]element</t>
        </is>
      </c>
      <c r="B32" s="4" t="inlineStr">
        <is>
          <t>Rifle</t>
        </is>
      </c>
      <c r="C32" s="4" t="n">
        <v>13</v>
      </c>
      <c r="D32" s="4" t="n">
        <v>1.14</v>
      </c>
      <c r="E32" s="4" t="n">
        <v>1.3</v>
      </c>
      <c r="F32" s="4" t="n">
        <v>28.8</v>
      </c>
      <c r="G32" s="4" t="n">
        <v>25.4</v>
      </c>
      <c r="H32" s="4" t="n">
        <v>4.3</v>
      </c>
      <c r="I32" s="4" t="n">
        <v>4764</v>
      </c>
      <c r="J32" s="4" t="n">
        <v>4.4</v>
      </c>
      <c r="K32" s="4" t="n">
        <v>0.2</v>
      </c>
      <c r="L32" s="4" t="n">
        <v>1.43</v>
      </c>
      <c r="M32" s="4" t="n">
        <v>1.29</v>
      </c>
      <c r="N32" s="4" t="n">
        <v>1</v>
      </c>
    </row>
    <row r="33">
      <c r="A33" s="4" t="inlineStr">
        <is>
          <t>[$] cory &lt;3 liah,jkimbro,rdk</t>
        </is>
      </c>
      <c r="B33" s="4" t="inlineStr">
        <is>
          <t>Rifle</t>
        </is>
      </c>
      <c r="C33" s="4" t="n">
        <v>12</v>
      </c>
      <c r="D33" s="4" t="n">
        <v>0.99</v>
      </c>
      <c r="E33" s="4" t="n">
        <v>1.14</v>
      </c>
      <c r="F33" s="4" t="n">
        <v>26.2</v>
      </c>
      <c r="G33" s="4" t="n">
        <v>26.5</v>
      </c>
      <c r="H33" s="4" t="n">
        <v>4.1</v>
      </c>
      <c r="I33" s="4" t="n">
        <v>4383</v>
      </c>
      <c r="J33" s="4" t="n">
        <v>4.2</v>
      </c>
      <c r="K33" s="4" t="n">
        <v>0.3</v>
      </c>
      <c r="L33" s="4" t="n">
        <v>1.16</v>
      </c>
      <c r="M33" s="4" t="n">
        <v>1.05</v>
      </c>
      <c r="N33" s="4" t="n">
        <v>1</v>
      </c>
    </row>
    <row r="34">
      <c r="A34" s="4" t="inlineStr">
        <is>
          <t>[NATO] NoName^</t>
        </is>
      </c>
      <c r="B34" s="4" t="inlineStr">
        <is>
          <t>Rifle</t>
        </is>
      </c>
      <c r="C34" s="4" t="n">
        <v>12</v>
      </c>
      <c r="D34" s="4" t="n">
        <v>1.3</v>
      </c>
      <c r="E34" s="4" t="n">
        <v>1.51</v>
      </c>
      <c r="F34" s="4" t="n">
        <v>26</v>
      </c>
      <c r="G34" s="4" t="n">
        <v>20</v>
      </c>
      <c r="H34" s="4" t="n">
        <v>4.1</v>
      </c>
      <c r="I34" s="4" t="n">
        <v>4293</v>
      </c>
      <c r="J34" s="4" t="n">
        <v>3.7</v>
      </c>
      <c r="K34" s="4" t="n">
        <v>0.1</v>
      </c>
      <c r="L34" s="4" t="n">
        <v>1.36</v>
      </c>
      <c r="M34" s="4" t="n">
        <v>1.23</v>
      </c>
      <c r="N34" s="4" t="n">
        <v>1</v>
      </c>
    </row>
    <row r="35">
      <c r="A35" s="4" t="inlineStr">
        <is>
          <t>iH.s i k &lt;3 n a t</t>
        </is>
      </c>
      <c r="B35" s="4" t="inlineStr">
        <is>
          <t>Rifle</t>
        </is>
      </c>
      <c r="C35" s="4" t="n">
        <v>11</v>
      </c>
      <c r="D35" s="4" t="n">
        <v>1.21</v>
      </c>
      <c r="E35" s="4" t="n">
        <v>1.44</v>
      </c>
      <c r="F35" s="4" t="n">
        <v>26.3</v>
      </c>
      <c r="G35" s="4" t="n">
        <v>21.7</v>
      </c>
      <c r="H35" s="4" t="n">
        <v>5</v>
      </c>
      <c r="I35" s="4" t="n">
        <v>4499</v>
      </c>
      <c r="J35" s="4" t="n">
        <v>3.5</v>
      </c>
      <c r="K35" s="4" t="n">
        <v>0.1</v>
      </c>
      <c r="L35" s="4" t="n">
        <v>1.35</v>
      </c>
      <c r="M35" s="4" t="n">
        <v>1.22</v>
      </c>
      <c r="N35" s="4" t="n">
        <v>0.99</v>
      </c>
    </row>
    <row r="36">
      <c r="A36" s="4" t="inlineStr">
        <is>
          <t>NoSo ! CrankinHawg</t>
        </is>
      </c>
      <c r="B36" s="4" t="inlineStr">
        <is>
          <t>Heavy</t>
        </is>
      </c>
      <c r="C36" s="4" t="n">
        <v>12</v>
      </c>
      <c r="D36" s="4" t="n">
        <v>1.06</v>
      </c>
      <c r="E36" s="4" t="n">
        <v>1.25</v>
      </c>
      <c r="F36" s="4" t="n">
        <v>23.8</v>
      </c>
      <c r="G36" s="4" t="n">
        <v>22.5</v>
      </c>
      <c r="H36" s="4" t="n">
        <v>4.5</v>
      </c>
      <c r="I36" s="4" t="n">
        <v>3532</v>
      </c>
      <c r="J36" s="4" t="n">
        <v>3.2</v>
      </c>
      <c r="K36" s="4" t="n">
        <v>0.4</v>
      </c>
      <c r="L36" s="4" t="n">
        <v>1.12</v>
      </c>
      <c r="M36" s="4" t="n">
        <v>1.05</v>
      </c>
      <c r="N36" s="4" t="n">
        <v>0.98</v>
      </c>
    </row>
    <row r="37">
      <c r="A37" s="4" t="inlineStr">
        <is>
          <t>ßℓυ†н \| kroD-</t>
        </is>
      </c>
      <c r="B37" s="4" t="inlineStr">
        <is>
          <t>Heavy</t>
        </is>
      </c>
      <c r="C37" s="4" t="n">
        <v>12</v>
      </c>
      <c r="D37" s="4" t="n">
        <v>0.91</v>
      </c>
      <c r="E37" s="4" t="n">
        <v>1.08</v>
      </c>
      <c r="F37" s="4" t="n">
        <v>25.9</v>
      </c>
      <c r="G37" s="4" t="n">
        <v>28.3</v>
      </c>
      <c r="H37" s="4" t="n">
        <v>4.6</v>
      </c>
      <c r="I37" s="4" t="n">
        <v>3815</v>
      </c>
      <c r="J37" s="4" t="n">
        <v>5.7</v>
      </c>
      <c r="K37" s="4" t="n">
        <v>0.5</v>
      </c>
      <c r="L37" s="4" t="n">
        <v>1.04</v>
      </c>
      <c r="M37" s="4" t="n">
        <v>0.9399999999999999</v>
      </c>
      <c r="N37" s="4" t="n">
        <v>0.98</v>
      </c>
    </row>
    <row r="38">
      <c r="A38" s="4" t="inlineStr">
        <is>
          <t>****JTM   ddorito</t>
        </is>
      </c>
      <c r="B38" s="4" t="inlineStr">
        <is>
          <t>Rifle</t>
        </is>
      </c>
      <c r="C38" s="4" t="n">
        <v>11</v>
      </c>
      <c r="D38" s="4" t="n">
        <v>1.18</v>
      </c>
      <c r="E38" s="4" t="n">
        <v>1.37</v>
      </c>
      <c r="F38" s="4" t="n">
        <v>27.3</v>
      </c>
      <c r="G38" s="4" t="n">
        <v>23.2</v>
      </c>
      <c r="H38" s="4" t="n">
        <v>4.6</v>
      </c>
      <c r="I38" s="4" t="n">
        <v>4528</v>
      </c>
      <c r="J38" s="4" t="n">
        <v>3</v>
      </c>
      <c r="K38" s="4" t="n">
        <v>0.2</v>
      </c>
      <c r="L38" s="4" t="n">
        <v>1.3</v>
      </c>
      <c r="M38" s="4" t="n">
        <v>1.25</v>
      </c>
      <c r="N38" s="4" t="n">
        <v>0.97</v>
      </c>
    </row>
    <row r="39">
      <c r="A39" s="4" t="inlineStr">
        <is>
          <t>dicE[: :]Gorilla[bc] &lt;3Cooper</t>
        </is>
      </c>
      <c r="B39" s="4" t="inlineStr">
        <is>
          <t>Rifle</t>
        </is>
      </c>
      <c r="C39" s="4" t="n">
        <v>13</v>
      </c>
      <c r="D39" s="4" t="n">
        <v>0.99</v>
      </c>
      <c r="E39" s="4" t="n">
        <v>1.15</v>
      </c>
      <c r="F39" s="4" t="n">
        <v>24.6</v>
      </c>
      <c r="G39" s="4" t="n">
        <v>24.9</v>
      </c>
      <c r="H39" s="4" t="n">
        <v>4.1</v>
      </c>
      <c r="I39" s="4" t="n">
        <v>3903</v>
      </c>
      <c r="J39" s="4" t="n">
        <v>3.7</v>
      </c>
      <c r="K39" s="4" t="n">
        <v>0.2</v>
      </c>
      <c r="L39" s="4" t="n">
        <v>1.1</v>
      </c>
      <c r="M39" s="4" t="n">
        <v>0.99</v>
      </c>
      <c r="N39" s="4" t="n">
        <v>0.95</v>
      </c>
    </row>
    <row r="40">
      <c r="A40" s="4" t="inlineStr">
        <is>
          <t>[NATO] Ho0liii &lt;3 nakk</t>
        </is>
      </c>
      <c r="B40" s="4" t="inlineStr">
        <is>
          <t>Sniper</t>
        </is>
      </c>
      <c r="C40" s="4" t="n">
        <v>12</v>
      </c>
      <c r="D40" s="4" t="n">
        <v>0.9</v>
      </c>
      <c r="E40" s="4" t="n">
        <v>0.96</v>
      </c>
      <c r="F40" s="4" t="n">
        <v>19.8</v>
      </c>
      <c r="G40" s="4" t="n">
        <v>21.9</v>
      </c>
      <c r="H40" s="4" t="n">
        <v>1.3</v>
      </c>
      <c r="I40" s="4" t="n">
        <v>3170</v>
      </c>
      <c r="J40" s="4" t="n">
        <v>4</v>
      </c>
      <c r="K40" s="4" t="n">
        <v>0</v>
      </c>
      <c r="L40" s="4" t="n">
        <v>0.84</v>
      </c>
      <c r="M40" s="4" t="n">
        <v>0.76</v>
      </c>
      <c r="N40" s="4" t="n">
        <v>0.95</v>
      </c>
    </row>
    <row r="41">
      <c r="A41" s="4" t="inlineStr">
        <is>
          <t>NoSo ! Bausch</t>
        </is>
      </c>
      <c r="B41" s="4" t="inlineStr">
        <is>
          <t>Rifle</t>
        </is>
      </c>
      <c r="C41" s="4" t="n">
        <v>12</v>
      </c>
      <c r="D41" s="4" t="n">
        <v>0.97</v>
      </c>
      <c r="E41" s="4" t="n">
        <v>1.17</v>
      </c>
      <c r="F41" s="4" t="n">
        <v>22.8</v>
      </c>
      <c r="G41" s="4" t="n">
        <v>23.5</v>
      </c>
      <c r="H41" s="4" t="n">
        <v>4.7</v>
      </c>
      <c r="I41" s="4" t="n">
        <v>4065</v>
      </c>
      <c r="J41" s="4" t="n">
        <v>3.4</v>
      </c>
      <c r="K41" s="4" t="n">
        <v>0.2</v>
      </c>
      <c r="L41" s="4" t="n">
        <v>1</v>
      </c>
      <c r="M41" s="4" t="n">
        <v>0.91</v>
      </c>
      <c r="N41" s="4" t="n">
        <v>0.95</v>
      </c>
    </row>
    <row r="42">
      <c r="A42" s="4" t="inlineStr">
        <is>
          <t>dicE[: :]warchyld[dd]</t>
        </is>
      </c>
      <c r="B42" s="4" t="inlineStr">
        <is>
          <t>Rifle</t>
        </is>
      </c>
      <c r="C42" s="4" t="n">
        <v>13</v>
      </c>
      <c r="D42" s="4" t="n">
        <v>0.6899999999999999</v>
      </c>
      <c r="E42" s="4" t="n">
        <v>0.85</v>
      </c>
      <c r="F42" s="4" t="n">
        <v>17.5</v>
      </c>
      <c r="G42" s="4" t="n">
        <v>25.3</v>
      </c>
      <c r="H42" s="4" t="n">
        <v>3.9</v>
      </c>
      <c r="I42" s="4" t="n">
        <v>3069</v>
      </c>
      <c r="J42" s="4" t="n">
        <v>5.5</v>
      </c>
      <c r="K42" s="4" t="n">
        <v>0.2</v>
      </c>
      <c r="L42" s="4" t="n">
        <v>0.55</v>
      </c>
      <c r="M42" s="4" t="n">
        <v>0.49</v>
      </c>
      <c r="N42" s="4" t="n">
        <v>0.9399999999999999</v>
      </c>
    </row>
    <row r="43">
      <c r="A43" s="4" t="inlineStr">
        <is>
          <t>[NATO] nightmare＃old</t>
        </is>
      </c>
      <c r="B43" s="4" t="inlineStr">
        <is>
          <t>Heavy</t>
        </is>
      </c>
      <c r="C43" s="4" t="n">
        <v>12</v>
      </c>
      <c r="D43" s="4" t="n">
        <v>1.04</v>
      </c>
      <c r="E43" s="4" t="n">
        <v>1.24</v>
      </c>
      <c r="F43" s="4" t="n">
        <v>22</v>
      </c>
      <c r="G43" s="4" t="n">
        <v>21.1</v>
      </c>
      <c r="H43" s="4" t="n">
        <v>4.1</v>
      </c>
      <c r="I43" s="4" t="n">
        <v>3500</v>
      </c>
      <c r="J43" s="4" t="n">
        <v>3.3</v>
      </c>
      <c r="K43" s="4" t="n">
        <v>0.3</v>
      </c>
      <c r="L43" s="4" t="n">
        <v>1.06</v>
      </c>
      <c r="M43" s="4" t="n">
        <v>0.97</v>
      </c>
      <c r="N43" s="4" t="n">
        <v>0.9399999999999999</v>
      </c>
    </row>
    <row r="44">
      <c r="A44" s="4" t="inlineStr">
        <is>
          <t>****JTM   mogers 4ky &lt;3h</t>
        </is>
      </c>
      <c r="B44" s="4" t="inlineStr">
        <is>
          <t>Rifle</t>
        </is>
      </c>
      <c r="C44" s="4" t="n">
        <v>11</v>
      </c>
      <c r="D44" s="4" t="n">
        <v>0.99</v>
      </c>
      <c r="E44" s="4" t="n">
        <v>1.21</v>
      </c>
      <c r="F44" s="4" t="n">
        <v>19.3</v>
      </c>
      <c r="G44" s="4" t="n">
        <v>19.5</v>
      </c>
      <c r="H44" s="4" t="n">
        <v>4.4</v>
      </c>
      <c r="I44" s="4" t="n">
        <v>3346</v>
      </c>
      <c r="J44" s="4" t="n">
        <v>3.2</v>
      </c>
      <c r="K44" s="4" t="n">
        <v>0.1</v>
      </c>
      <c r="L44" s="4" t="n">
        <v>0.88</v>
      </c>
      <c r="M44" s="4" t="n">
        <v>0.82</v>
      </c>
      <c r="N44" s="4" t="n">
        <v>0.93</v>
      </c>
    </row>
    <row r="45">
      <c r="A45" s="4" t="inlineStr">
        <is>
          <t>****JTM   ian</t>
        </is>
      </c>
      <c r="B45" s="4" t="inlineStr">
        <is>
          <t>Sniper</t>
        </is>
      </c>
      <c r="C45" s="4" t="n">
        <v>11</v>
      </c>
      <c r="D45" s="4" t="n">
        <v>1.24</v>
      </c>
      <c r="E45" s="4" t="n">
        <v>1.3</v>
      </c>
      <c r="F45" s="4" t="n">
        <v>21.6</v>
      </c>
      <c r="G45" s="4" t="n">
        <v>17.4</v>
      </c>
      <c r="H45" s="4" t="n">
        <v>1</v>
      </c>
      <c r="I45" s="4" t="n">
        <v>3324</v>
      </c>
      <c r="J45" s="4" t="n">
        <v>2.2</v>
      </c>
      <c r="K45" s="4" t="n">
        <v>0</v>
      </c>
      <c r="L45" s="4" t="n">
        <v>0.9399999999999999</v>
      </c>
      <c r="M45" s="4" t="n">
        <v>0.95</v>
      </c>
      <c r="N45" s="4" t="n">
        <v>0.93</v>
      </c>
    </row>
    <row r="46">
      <c r="A46" s="4" t="inlineStr">
        <is>
          <t>b.   e p y o n</t>
        </is>
      </c>
      <c r="B46" s="4" t="inlineStr">
        <is>
          <t>Heavy</t>
        </is>
      </c>
      <c r="C46" s="4" t="n">
        <v>8</v>
      </c>
      <c r="D46" s="4" t="n">
        <v>0.99</v>
      </c>
      <c r="E46" s="4" t="n">
        <v>1.16</v>
      </c>
      <c r="F46" s="4" t="n">
        <v>21.9</v>
      </c>
      <c r="G46" s="4" t="n">
        <v>22.2</v>
      </c>
      <c r="H46" s="4" t="n">
        <v>3.9</v>
      </c>
      <c r="I46" s="4" t="n">
        <v>3209</v>
      </c>
      <c r="J46" s="4" t="n">
        <v>5.3</v>
      </c>
      <c r="K46" s="4" t="n">
        <v>0.2</v>
      </c>
      <c r="L46" s="4" t="n">
        <v>1</v>
      </c>
      <c r="M46" s="4" t="n">
        <v>0.91</v>
      </c>
      <c r="N46" s="4" t="n">
        <v>0.93</v>
      </c>
    </row>
    <row r="47">
      <c r="A47" s="4" t="inlineStr">
        <is>
          <t>NoSo ! Khoi</t>
        </is>
      </c>
      <c r="B47" s="4" t="inlineStr">
        <is>
          <t>Rifle</t>
        </is>
      </c>
      <c r="C47" s="4" t="n">
        <v>12</v>
      </c>
      <c r="D47" s="4" t="n">
        <v>0.7</v>
      </c>
      <c r="E47" s="4" t="n">
        <v>0.88</v>
      </c>
      <c r="F47" s="4" t="n">
        <v>18.9</v>
      </c>
      <c r="G47" s="4" t="n">
        <v>26.8</v>
      </c>
      <c r="H47" s="4" t="n">
        <v>4.8</v>
      </c>
      <c r="I47" s="4" t="n">
        <v>3161</v>
      </c>
      <c r="J47" s="4" t="n">
        <v>6.1</v>
      </c>
      <c r="K47" s="4" t="n">
        <v>0.1</v>
      </c>
      <c r="L47" s="4" t="n">
        <v>0.59</v>
      </c>
      <c r="M47" s="4" t="n">
        <v>0.54</v>
      </c>
      <c r="N47" s="4" t="n">
        <v>0.93</v>
      </c>
    </row>
    <row r="48">
      <c r="A48" s="4" t="inlineStr">
        <is>
          <t>[bb] pb_</t>
        </is>
      </c>
      <c r="B48" s="4" t="inlineStr">
        <is>
          <t>Rifle</t>
        </is>
      </c>
      <c r="C48" s="4" t="n">
        <v>10</v>
      </c>
      <c r="D48" s="4" t="n">
        <v>0.9399999999999999</v>
      </c>
      <c r="E48" s="4" t="n">
        <v>1.1</v>
      </c>
      <c r="F48" s="4" t="n">
        <v>25.1</v>
      </c>
      <c r="G48" s="4" t="n">
        <v>26.8</v>
      </c>
      <c r="H48" s="4" t="n">
        <v>4.5</v>
      </c>
      <c r="I48" s="4" t="n">
        <v>4134</v>
      </c>
      <c r="J48" s="4" t="n">
        <v>4.7</v>
      </c>
      <c r="K48" s="4" t="n">
        <v>0.2</v>
      </c>
      <c r="L48" s="4" t="n">
        <v>1.05</v>
      </c>
      <c r="M48" s="4" t="n">
        <v>0.95</v>
      </c>
      <c r="N48" s="4" t="n">
        <v>0.93</v>
      </c>
    </row>
    <row r="49">
      <c r="A49" s="4" t="inlineStr">
        <is>
          <t>NoSo ! yayme</t>
        </is>
      </c>
      <c r="B49" s="4" t="inlineStr">
        <is>
          <t>Heavy</t>
        </is>
      </c>
      <c r="C49" s="4" t="n">
        <v>12</v>
      </c>
      <c r="D49" s="4" t="n">
        <v>1</v>
      </c>
      <c r="E49" s="4" t="n">
        <v>1.2</v>
      </c>
      <c r="F49" s="4" t="n">
        <v>21.6</v>
      </c>
      <c r="G49" s="4" t="n">
        <v>21.6</v>
      </c>
      <c r="H49" s="4" t="n">
        <v>4.3</v>
      </c>
      <c r="I49" s="4" t="n">
        <v>3233</v>
      </c>
      <c r="J49" s="4" t="n">
        <v>4.2</v>
      </c>
      <c r="K49" s="4" t="n">
        <v>0.2</v>
      </c>
      <c r="L49" s="4" t="n">
        <v>1.01</v>
      </c>
      <c r="M49" s="4" t="n">
        <v>0.91</v>
      </c>
      <c r="N49" s="4" t="n">
        <v>0.91</v>
      </c>
    </row>
    <row r="50">
      <c r="A50" s="4" t="inlineStr">
        <is>
          <t>[bb]3SidedQuarter</t>
        </is>
      </c>
      <c r="B50" s="4" t="inlineStr">
        <is>
          <t>Sniper</t>
        </is>
      </c>
      <c r="C50" s="4" t="n">
        <v>9</v>
      </c>
      <c r="D50" s="4" t="n">
        <v>0.87</v>
      </c>
      <c r="E50" s="4" t="n">
        <v>0.91</v>
      </c>
      <c r="F50" s="4" t="n">
        <v>19.9</v>
      </c>
      <c r="G50" s="4" t="n">
        <v>22.8</v>
      </c>
      <c r="H50" s="4" t="n">
        <v>0.8</v>
      </c>
      <c r="I50" s="4" t="n">
        <v>2941</v>
      </c>
      <c r="J50" s="4" t="n">
        <v>4.2</v>
      </c>
      <c r="K50" s="4" t="n">
        <v>0.1</v>
      </c>
      <c r="L50" s="4" t="n">
        <v>0.8</v>
      </c>
      <c r="M50" s="4" t="n">
        <v>0.72</v>
      </c>
      <c r="N50" s="4" t="n">
        <v>0.91</v>
      </c>
    </row>
    <row r="51">
      <c r="A51" s="4" t="inlineStr">
        <is>
          <t>b.   hey hi &lt;3 dustbin</t>
        </is>
      </c>
      <c r="B51" s="4" t="inlineStr">
        <is>
          <t>Rifle</t>
        </is>
      </c>
      <c r="C51" s="4" t="n">
        <v>8</v>
      </c>
      <c r="D51" s="4" t="n">
        <v>0.88</v>
      </c>
      <c r="E51" s="4" t="n">
        <v>1.04</v>
      </c>
      <c r="F51" s="4" t="n">
        <v>23.7</v>
      </c>
      <c r="G51" s="4" t="n">
        <v>26.9</v>
      </c>
      <c r="H51" s="4" t="n">
        <v>4.2</v>
      </c>
      <c r="I51" s="4" t="n">
        <v>4020</v>
      </c>
      <c r="J51" s="4" t="n">
        <v>5.6</v>
      </c>
      <c r="K51" s="4" t="n">
        <v>0.1</v>
      </c>
      <c r="L51" s="4" t="n">
        <v>0.93</v>
      </c>
      <c r="M51" s="4" t="n">
        <v>0.84</v>
      </c>
      <c r="N51" s="4" t="n">
        <v>0.91</v>
      </c>
    </row>
    <row r="52">
      <c r="A52" s="4" t="inlineStr">
        <is>
          <t>ßℓυ†н \| incite[bc]</t>
        </is>
      </c>
      <c r="B52" s="4" t="inlineStr">
        <is>
          <t>Heavy</t>
        </is>
      </c>
      <c r="C52" s="4" t="n">
        <v>12</v>
      </c>
      <c r="D52" s="4" t="n">
        <v>0.76</v>
      </c>
      <c r="E52" s="4" t="n">
        <v>0.96</v>
      </c>
      <c r="F52" s="4" t="n">
        <v>21.3</v>
      </c>
      <c r="G52" s="4" t="n">
        <v>28</v>
      </c>
      <c r="H52" s="4" t="n">
        <v>5.7</v>
      </c>
      <c r="I52" s="4" t="n">
        <v>3405</v>
      </c>
      <c r="J52" s="4" t="n">
        <v>3.3</v>
      </c>
      <c r="K52" s="4" t="n">
        <v>0.3</v>
      </c>
      <c r="L52" s="4" t="n">
        <v>0.7</v>
      </c>
      <c r="M52" s="4" t="n">
        <v>0.64</v>
      </c>
      <c r="N52" s="4" t="n">
        <v>0.9</v>
      </c>
    </row>
    <row r="53">
      <c r="A53" s="4" t="inlineStr">
        <is>
          <t>b.   sTarK_ x_0 &lt;3＃77</t>
        </is>
      </c>
      <c r="B53" s="4" t="inlineStr">
        <is>
          <t>Heavy</t>
        </is>
      </c>
      <c r="C53" s="4" t="n">
        <v>8</v>
      </c>
      <c r="D53" s="4" t="n">
        <v>0.85</v>
      </c>
      <c r="E53" s="4" t="n">
        <v>1.02</v>
      </c>
      <c r="F53" s="4" t="n">
        <v>24.8</v>
      </c>
      <c r="G53" s="4" t="n">
        <v>29.2</v>
      </c>
      <c r="H53" s="4" t="n">
        <v>5.1</v>
      </c>
      <c r="I53" s="4" t="n">
        <v>3576</v>
      </c>
      <c r="J53" s="4" t="n">
        <v>4.3</v>
      </c>
      <c r="K53" s="4" t="n">
        <v>0.3</v>
      </c>
      <c r="L53" s="4" t="n">
        <v>0.91</v>
      </c>
      <c r="M53" s="4" t="n">
        <v>0.82</v>
      </c>
      <c r="N53" s="4" t="n">
        <v>0.88</v>
      </c>
    </row>
    <row r="54">
      <c r="A54" s="4" t="inlineStr">
        <is>
          <t>b.   o[bb]y</t>
        </is>
      </c>
      <c r="B54" s="4" t="inlineStr">
        <is>
          <t>Rifle</t>
        </is>
      </c>
      <c r="C54" s="4" t="n">
        <v>8</v>
      </c>
      <c r="D54" s="4" t="n">
        <v>0.78</v>
      </c>
      <c r="E54" s="4" t="n">
        <v>0.87</v>
      </c>
      <c r="F54" s="4" t="n">
        <v>26</v>
      </c>
      <c r="G54" s="4" t="n">
        <v>33.3</v>
      </c>
      <c r="H54" s="4" t="n">
        <v>2.9</v>
      </c>
      <c r="I54" s="4" t="n">
        <v>4400</v>
      </c>
      <c r="J54" s="4" t="n">
        <v>4.2</v>
      </c>
      <c r="K54" s="4" t="n">
        <v>0.3</v>
      </c>
      <c r="L54" s="4" t="n">
        <v>0.85</v>
      </c>
      <c r="M54" s="4" t="n">
        <v>0.77</v>
      </c>
      <c r="N54" s="4" t="n">
        <v>0.87</v>
      </c>
    </row>
    <row r="55">
      <c r="A55" s="4" t="inlineStr">
        <is>
          <t>[$] nomistizzle</t>
        </is>
      </c>
      <c r="B55" s="4" t="inlineStr">
        <is>
          <t>Rifle</t>
        </is>
      </c>
      <c r="C55" s="4" t="n">
        <v>12</v>
      </c>
      <c r="D55" s="4" t="n">
        <v>0.93</v>
      </c>
      <c r="E55" s="4" t="n">
        <v>1.07</v>
      </c>
      <c r="F55" s="4" t="n">
        <v>26.8</v>
      </c>
      <c r="G55" s="4" t="n">
        <v>28.9</v>
      </c>
      <c r="H55" s="4" t="n">
        <v>4.2</v>
      </c>
      <c r="I55" s="4" t="n">
        <v>4422</v>
      </c>
      <c r="J55" s="4" t="n">
        <v>3.6</v>
      </c>
      <c r="K55" s="4" t="n">
        <v>0.2</v>
      </c>
      <c r="L55" s="4" t="n">
        <v>1.08</v>
      </c>
      <c r="M55" s="4" t="n">
        <v>0.98</v>
      </c>
      <c r="N55" s="4" t="n">
        <v>0.86</v>
      </c>
    </row>
    <row r="56">
      <c r="A56" s="4" t="inlineStr">
        <is>
          <t>[$] hypnotik_ 0_x</t>
        </is>
      </c>
      <c r="B56" s="4" t="inlineStr">
        <is>
          <t>Heavy</t>
        </is>
      </c>
      <c r="C56" s="4" t="n">
        <v>12</v>
      </c>
      <c r="D56" s="4" t="n">
        <v>0.64</v>
      </c>
      <c r="E56" s="4" t="n">
        <v>0.8</v>
      </c>
      <c r="F56" s="4" t="n">
        <v>18.4</v>
      </c>
      <c r="G56" s="4" t="n">
        <v>28.6</v>
      </c>
      <c r="H56" s="4" t="n">
        <v>4.5</v>
      </c>
      <c r="I56" s="4" t="n">
        <v>2883</v>
      </c>
      <c r="J56" s="4" t="n">
        <v>5.7</v>
      </c>
      <c r="K56" s="4" t="n">
        <v>0.2</v>
      </c>
      <c r="L56" s="4" t="n">
        <v>0.52</v>
      </c>
      <c r="M56" s="4" t="n">
        <v>0.47</v>
      </c>
      <c r="N56" s="4" t="n">
        <v>0.82</v>
      </c>
    </row>
    <row r="57">
      <c r="A57" s="4" t="inlineStr">
        <is>
          <t>uR[TM]* HLAH</t>
        </is>
      </c>
      <c r="B57" s="4" t="inlineStr">
        <is>
          <t>Sniper</t>
        </is>
      </c>
      <c r="C57" s="4" t="n">
        <v>8</v>
      </c>
      <c r="D57" s="4" t="n">
        <v>0.85</v>
      </c>
      <c r="E57" s="4" t="n">
        <v>0.9</v>
      </c>
      <c r="F57" s="4" t="n">
        <v>21.2</v>
      </c>
      <c r="G57" s="4" t="n">
        <v>25.1</v>
      </c>
      <c r="H57" s="4" t="n">
        <v>1.2</v>
      </c>
      <c r="I57" s="4" t="n">
        <v>3334</v>
      </c>
      <c r="J57" s="4" t="n">
        <v>2.2</v>
      </c>
      <c r="K57" s="4" t="n">
        <v>0</v>
      </c>
      <c r="L57" s="4" t="n">
        <v>0.72</v>
      </c>
      <c r="M57" s="4" t="n">
        <v>0.7</v>
      </c>
      <c r="N57" s="4" t="n">
        <v>0.82</v>
      </c>
    </row>
    <row r="58">
      <c r="A58" s="4" t="inlineStr">
        <is>
          <t>uR[TM]* Kevs Dolmetscher</t>
        </is>
      </c>
      <c r="B58" s="4" t="inlineStr">
        <is>
          <t>Rifle</t>
        </is>
      </c>
      <c r="C58" s="4" t="n">
        <v>8</v>
      </c>
      <c r="D58" s="4" t="n">
        <v>0.63</v>
      </c>
      <c r="E58" s="4" t="n">
        <v>0.8</v>
      </c>
      <c r="F58" s="4" t="n">
        <v>16</v>
      </c>
      <c r="G58" s="4" t="n">
        <v>25.4</v>
      </c>
      <c r="H58" s="4" t="n">
        <v>4.3</v>
      </c>
      <c r="I58" s="4" t="n">
        <v>2739</v>
      </c>
      <c r="J58" s="4" t="n">
        <v>3.5</v>
      </c>
      <c r="K58" s="4" t="n">
        <v>0.1</v>
      </c>
      <c r="L58" s="4" t="n">
        <v>0.45</v>
      </c>
      <c r="M58" s="4" t="n">
        <v>0.41</v>
      </c>
      <c r="N58" s="4" t="n">
        <v>0.8100000000000001</v>
      </c>
    </row>
    <row r="59">
      <c r="A59" s="4" t="inlineStr">
        <is>
          <t>[$] nein_</t>
        </is>
      </c>
      <c r="B59" s="4" t="inlineStr">
        <is>
          <t>Heavy</t>
        </is>
      </c>
      <c r="C59" s="4" t="n">
        <v>12</v>
      </c>
      <c r="D59" s="4" t="n">
        <v>0.6899999999999999</v>
      </c>
      <c r="E59" s="4" t="n">
        <v>0.85</v>
      </c>
      <c r="F59" s="4" t="n">
        <v>20.5</v>
      </c>
      <c r="G59" s="4" t="n">
        <v>29.7</v>
      </c>
      <c r="H59" s="4" t="n">
        <v>4.6</v>
      </c>
      <c r="I59" s="4" t="n">
        <v>3197</v>
      </c>
      <c r="J59" s="4" t="n">
        <v>4.4</v>
      </c>
      <c r="K59" s="4" t="n">
        <v>0.1</v>
      </c>
      <c r="L59" s="4" t="n">
        <v>0.62</v>
      </c>
      <c r="M59" s="4" t="n">
        <v>0.5600000000000001</v>
      </c>
      <c r="N59" s="4" t="n">
        <v>0.79</v>
      </c>
    </row>
    <row r="60">
      <c r="A60" s="4" t="inlineStr">
        <is>
          <t>[$] tokih</t>
        </is>
      </c>
      <c r="B60" s="4" t="inlineStr">
        <is>
          <t>Sniper</t>
        </is>
      </c>
      <c r="C60" s="4" t="n">
        <v>12</v>
      </c>
      <c r="D60" s="4" t="n">
        <v>0.87</v>
      </c>
      <c r="E60" s="4" t="n">
        <v>0.91</v>
      </c>
      <c r="F60" s="4" t="n">
        <v>22.8</v>
      </c>
      <c r="G60" s="4" t="n">
        <v>26.1</v>
      </c>
      <c r="H60" s="4" t="n">
        <v>0.9</v>
      </c>
      <c r="I60" s="4" t="n">
        <v>3607</v>
      </c>
      <c r="J60" s="4" t="n">
        <v>2.7</v>
      </c>
      <c r="K60" s="4" t="n">
        <v>0</v>
      </c>
      <c r="L60" s="4" t="n">
        <v>0.79</v>
      </c>
      <c r="M60" s="4" t="n">
        <v>0.78</v>
      </c>
      <c r="N60" s="4" t="n">
        <v>0.79</v>
      </c>
    </row>
    <row r="61">
      <c r="A61" s="4" t="inlineStr">
        <is>
          <t>b.   тωὶﮐт</t>
        </is>
      </c>
      <c r="B61" s="4" t="inlineStr">
        <is>
          <t>Rifle</t>
        </is>
      </c>
      <c r="C61" s="4" t="n">
        <v>8</v>
      </c>
      <c r="D61" s="4" t="n">
        <v>0.7</v>
      </c>
      <c r="E61" s="4" t="n">
        <v>0.84</v>
      </c>
      <c r="F61" s="4" t="n">
        <v>18.5</v>
      </c>
      <c r="G61" s="4" t="n">
        <v>26.3</v>
      </c>
      <c r="H61" s="4" t="n">
        <v>3.6</v>
      </c>
      <c r="I61" s="4" t="n">
        <v>3134</v>
      </c>
      <c r="J61" s="4" t="n">
        <v>3.7</v>
      </c>
      <c r="K61" s="4" t="n">
        <v>0.1</v>
      </c>
      <c r="L61" s="4" t="n">
        <v>0.58</v>
      </c>
      <c r="M61" s="4" t="n">
        <v>0.53</v>
      </c>
      <c r="N61" s="4" t="n">
        <v>0.78</v>
      </c>
    </row>
    <row r="62">
      <c r="A62" s="4" t="inlineStr">
        <is>
          <t>uR[TM]* Ke:&gt;^1.de</t>
        </is>
      </c>
      <c r="B62" s="4" t="inlineStr">
        <is>
          <t>Heavy</t>
        </is>
      </c>
      <c r="C62" s="4" t="n">
        <v>8</v>
      </c>
      <c r="D62" s="4" t="n">
        <v>0.86</v>
      </c>
      <c r="E62" s="4" t="n">
        <v>0.98</v>
      </c>
      <c r="F62" s="4" t="n">
        <v>28.8</v>
      </c>
      <c r="G62" s="4" t="n">
        <v>33.3</v>
      </c>
      <c r="H62" s="4" t="n">
        <v>3.8</v>
      </c>
      <c r="I62" s="4" t="n">
        <v>4504</v>
      </c>
      <c r="J62" s="4" t="n">
        <v>4.6</v>
      </c>
      <c r="K62" s="4" t="n">
        <v>0.3</v>
      </c>
      <c r="L62" s="4" t="n">
        <v>1.04</v>
      </c>
      <c r="M62" s="4" t="n">
        <v>0.9399999999999999</v>
      </c>
      <c r="N62" s="4" t="n">
        <v>0.78</v>
      </c>
    </row>
    <row r="63">
      <c r="A63" s="4" t="inlineStr">
        <is>
          <t>uR[TM]* Jee＃minou.exe</t>
        </is>
      </c>
      <c r="B63" s="4" t="inlineStr">
        <is>
          <t>Heavy</t>
        </is>
      </c>
      <c r="C63" s="4" t="n">
        <v>8</v>
      </c>
      <c r="D63" s="4" t="n">
        <v>0.61</v>
      </c>
      <c r="E63" s="4" t="n">
        <v>0.75</v>
      </c>
      <c r="F63" s="4" t="n">
        <v>18.2</v>
      </c>
      <c r="G63" s="4" t="n">
        <v>29.6</v>
      </c>
      <c r="H63" s="4" t="n">
        <v>3.9</v>
      </c>
      <c r="I63" s="4" t="n">
        <v>2704</v>
      </c>
      <c r="J63" s="4" t="n">
        <v>2.9</v>
      </c>
      <c r="K63" s="4" t="n">
        <v>0.4</v>
      </c>
      <c r="L63" s="4" t="n">
        <v>0.47</v>
      </c>
      <c r="M63" s="4" t="n">
        <v>0.44</v>
      </c>
      <c r="N63" s="4" t="n">
        <v>0.78</v>
      </c>
    </row>
    <row r="64">
      <c r="A64" s="4" t="inlineStr">
        <is>
          <t>uR[TM]* zamp0lit</t>
        </is>
      </c>
      <c r="B64" s="4" t="inlineStr">
        <is>
          <t>Rifle</t>
        </is>
      </c>
      <c r="C64" s="4" t="n">
        <v>8</v>
      </c>
      <c r="D64" s="4" t="n">
        <v>0.65</v>
      </c>
      <c r="E64" s="4" t="n">
        <v>0.75</v>
      </c>
      <c r="F64" s="4" t="n">
        <v>19.2</v>
      </c>
      <c r="G64" s="4" t="n">
        <v>29.5</v>
      </c>
      <c r="H64" s="4" t="n">
        <v>2.9</v>
      </c>
      <c r="I64" s="4" t="n">
        <v>3264</v>
      </c>
      <c r="J64" s="4" t="n">
        <v>3.8</v>
      </c>
      <c r="K64" s="4" t="n">
        <v>0.2</v>
      </c>
      <c r="L64" s="4" t="n">
        <v>0.54</v>
      </c>
      <c r="M64" s="4" t="n">
        <v>0.49</v>
      </c>
      <c r="N64" s="4" t="n">
        <v>0.77</v>
      </c>
    </row>
    <row r="65">
      <c r="A65" s="4" t="inlineStr">
        <is>
          <t>uR[TM]* SirSnipeys</t>
        </is>
      </c>
      <c r="B65" s="4" t="inlineStr">
        <is>
          <t>Rifle</t>
        </is>
      </c>
      <c r="C65" s="4" t="n">
        <v>8</v>
      </c>
      <c r="D65" s="4" t="n">
        <v>0.6</v>
      </c>
      <c r="E65" s="4" t="n">
        <v>0.68</v>
      </c>
      <c r="F65" s="4" t="n">
        <v>19.8</v>
      </c>
      <c r="G65" s="4" t="n">
        <v>33</v>
      </c>
      <c r="H65" s="4" t="n">
        <v>2.8</v>
      </c>
      <c r="I65" s="4" t="n">
        <v>3307</v>
      </c>
      <c r="J65" s="4" t="n">
        <v>4.8</v>
      </c>
      <c r="K65" s="4" t="n">
        <v>0.1</v>
      </c>
      <c r="L65" s="4" t="n">
        <v>0.5</v>
      </c>
      <c r="M65" s="4" t="n">
        <v>0.45</v>
      </c>
      <c r="N65" s="4" t="n">
        <v>0.71</v>
      </c>
    </row>
    <row r="68">
      <c r="A68" s="8" t="inlineStr">
        <is>
          <t>Derived baselines (auto)</t>
        </is>
      </c>
    </row>
    <row r="69">
      <c r="A69" t="inlineStr">
        <is>
          <t>Threshold (regular-player match floor)</t>
        </is>
      </c>
      <c r="B69" s="13">
        <f>MAX(part_floor,MAX(C5:C65)*0.66)</f>
        <v/>
      </c>
    </row>
    <row r="70">
      <c r="A70" t="inlineStr">
        <is>
          <t>Median Kills/Half (regulars)</t>
        </is>
      </c>
      <c r="B70" s="13">
        <f t="array" ref="B70">MEDIAN(IF(C5:C65&gt;=threshold,F5:F65))</f>
        <v/>
      </c>
    </row>
    <row r="71">
      <c r="A71" t="inlineStr">
        <is>
          <t>Median Deaths/Half (regulars)</t>
        </is>
      </c>
      <c r="B71" s="13">
        <f t="array" ref="B71">MEDIAN(IF(C5:C65&gt;=threshold,G5:G65))</f>
        <v/>
      </c>
    </row>
    <row r="72">
      <c r="A72" t="inlineStr">
        <is>
          <t>Median Flags/Half (regulars)</t>
        </is>
      </c>
      <c r="B72" s="13">
        <f t="array" ref="B72">MEDIAN(IF(C5:C65&gt;=threshold,J5:J65))</f>
        <v/>
      </c>
    </row>
    <row r="73">
      <c r="A73" t="inlineStr">
        <is>
          <t>Median Flags/Half (all players)</t>
        </is>
      </c>
      <c r="B73" s="13">
        <f>MEDIAN(J5:J65)</f>
        <v/>
      </c>
    </row>
  </sheetData>
  <mergeCells count="1">
    <mergeCell ref="A2:M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5"/>
  <sheetViews>
    <sheetView showGridLines="0" workbookViewId="0">
      <selection activeCell="A1" sqref="A1"/>
    </sheetView>
  </sheetViews>
  <sheetFormatPr baseColWidth="8" defaultRowHeight="15"/>
  <cols>
    <col width="140" customWidth="1" min="1" max="1"/>
  </cols>
  <sheetData>
    <row r="1">
      <c r="A1" s="1" t="inlineStr">
        <is>
          <t>Notes</t>
        </is>
      </c>
    </row>
    <row r="2" ht="6" customHeight="1">
      <c r="A2" s="14" t="inlineStr"/>
    </row>
    <row r="3" ht="15" customHeight="1">
      <c r="A3" s="14" t="inlineStr">
        <is>
          <t>THIS IS THE OLD KTPR — the original multiplicative Excel formula actually used to score real events, reproduced here as live formulas (not the 'current' hardened variant, and not this project's 'new' team-contribution redesign). See the Knobs sheet for the formula shape and every weight.</t>
        </is>
      </c>
    </row>
    <row r="4" ht="6" customHeight="1">
      <c r="A4" s="14" t="inlineStr"/>
    </row>
    <row r="5" ht="15" customHeight="1">
      <c r="A5" s="14" t="inlineStr">
        <is>
          <t>DATA: real Philly LAN 2026 stats, 61 players, Sat+Sun tournament matches only (match_type=0, 55 matches) — Friday's for-fun games and incomplete/warmup matches excluded. Kills/deaths/flags are HLStatsX-spine (hlstats_Events_Frags / hlstats_Events_PlayerActions); assists/damage/breaks are HUD-augmented. Pulled from production (hlstatsx_lan via SSH) on 2026-08-07 by this project's own ktpr_mysql.py/make_report.py — reused here rather than re-querying production again for this workbook.</t>
        </is>
      </c>
    </row>
    <row r="6" ht="6" customHeight="1">
      <c r="A6" s="14" t="inlineStr"/>
    </row>
    <row r="7" ht="15" customHeight="1">
      <c r="A7" s="14" t="inlineStr">
        <is>
          <t>FORMULA SOURCE OF TRUTH: ktpr_engine.py's compute_excel(), [profiles.old] in weights.toml — both in G:\GIT\ktpeffort. That implementation is independently verified: it reproduces Book1.csv's stored KTPRn column exactly (max diff 0.0075, pure rounding), per KTPR_SPEC.md.</t>
        </is>
      </c>
    </row>
    <row r="8" ht="6" customHeight="1">
      <c r="A8" s="14" t="inlineStr"/>
    </row>
    <row r="9" ht="15" customHeight="1">
      <c r="A9" s="14" t="inlineStr">
        <is>
          <t>BUILT-IN CORRECTNESS CHECK: the Leaderboard sheet's 'Reference (engine)' column is the already-computed Old KTPR value from KTPR_LAN_COMPARISON.md (i.e. ktpr_engine.py's own output for these exact players). The 'Live Old KTPR' column is this workbook's own formula chain, built independently from the same knobs. Before this workbook was built, the formula was also re-derived and cross-checked in plain Python against the published values (max diff reported on the Leaderboard sheet, footer). Agreement between Live and Reference is a real correctness signal on its own, independent of comparing against dodworldseries.com externally.</t>
        </is>
      </c>
    </row>
    <row r="10" ht="6" customHeight="1">
      <c r="A10" s="14" t="inlineStr"/>
    </row>
    <row r="11" ht="15" customHeight="1">
      <c r="A11" s="14" t="inlineStr">
        <is>
          <t>WHAT THE OLD FORMULA DOES NOT USE: assists, damage, and breaks are shown on the Raw Data sheet for context (and because they're needed for the 'current'/'new' variants), but the OLD formula's core skill/flag/death terms only read K/D, Kills/Half, Deaths/Half, and Flags/Half. That's not an oversight here — it's what the original formula actually does.</t>
        </is>
      </c>
    </row>
    <row r="12" ht="6" customHeight="1">
      <c r="A12" s="14" t="inlineStr"/>
    </row>
    <row r="13" ht="15" customHeight="1">
      <c r="A13" s="14" t="inlineStr">
        <is>
          <t>REGULAR PLAYER: anyone whose Matches &gt;= MAX(part_floor, MAX(all players' Matches) x 0.66) — i.e. played at least 66% of the most-attended player's match count (13 here, so threshold = 8.58). Medians used for normalization are computed over regulars only, except the non-regular flag-bonus branch, which compares against the median over ALL players.</t>
        </is>
      </c>
    </row>
    <row r="14" ht="6" customHeight="1">
      <c r="A14" s="14" t="inlineStr"/>
    </row>
    <row r="15" ht="15" customHeight="1">
      <c r="A15" s="14" t="inlineStr">
        <is>
          <t>TO COMPARE AGAINST dodworldseries.com: sort the Leaderboard by rank or by 'Live Old KTPR' and line it up against the site's published Philly LAN leaderboard. If the site published a different formula variant (old vs. current) or a different match-scope filter (e.g. including Friday), expect systematic differences — check the site's own stated methodology before treating any mismatch as a bug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2026-08-13T18:58:49Z</dcterms:created>
  <dcterms:modified xsi:type="dcterms:W3CDTF">2026-08-13T18:58:49Z</dcterms:modified>
</cp:coreProperties>
</file>